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Documents\MBA\IIP Skills upgrade courses\Projects\Business Analyst\03_Sales Forecasting &amp; Revenue Trend Analysis\"/>
    </mc:Choice>
  </mc:AlternateContent>
  <xr:revisionPtr revIDLastSave="0" documentId="13_ncr:1_{8EB37B93-7C8A-493A-8F74-966D883937D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ChartData" sheetId="2" state="hidden" r:id="rId2"/>
    <sheet name="Monthly Trend" sheetId="3" r:id="rId3"/>
    <sheet name="Regional Analysis" sheetId="4" r:id="rId4"/>
    <sheet name="KPI Summary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<sst xmlns="http://schemas.openxmlformats.org/spreadsheetml/2006/main" count="321" uniqueCount="217">
  <si>
    <t xml:space="preserve">  📊  SALES FORECASTING &amp; REVENUE TREND ANALYSIS  |  Executive Dashboard</t>
  </si>
  <si>
    <t>TOTAL REVENUE</t>
  </si>
  <si>
    <t>PROFIT MARGIN</t>
  </si>
  <si>
    <t>FORECAST ACCURACY</t>
  </si>
  <si>
    <t>TARGET ACHIEVEMENT</t>
  </si>
  <si>
    <t>AVG ORDER VALUE</t>
  </si>
  <si>
    <t>₹9,282,162</t>
  </si>
  <si>
    <t>44.18%</t>
  </si>
  <si>
    <t>99.57%</t>
  </si>
  <si>
    <t>93.56%</t>
  </si>
  <si>
    <t>₹77,351</t>
  </si>
  <si>
    <t>+11.3% vs Last Year</t>
  </si>
  <si>
    <t>▲ Healthy — Target &gt;30%</t>
  </si>
  <si>
    <t>▲ Excellent — Target &gt;85%</t>
  </si>
  <si>
    <t>⚠ Below 95% Target</t>
  </si>
  <si>
    <t>▲ Stable Trend</t>
  </si>
  <si>
    <t xml:space="preserve">  📈  MONTHLY REVENUE TREND (2023–2024)</t>
  </si>
  <si>
    <t xml:space="preserve">  🎯  FORECAST vs ACTUAL REVENUE</t>
  </si>
  <si>
    <t xml:space="preserve">  🗺️  REVENUE BY REGION</t>
  </si>
  <si>
    <t xml:space="preserve">  Region Target Achievement</t>
  </si>
  <si>
    <t>Region</t>
  </si>
  <si>
    <t>Revenue (INR)</t>
  </si>
  <si>
    <t>Target Ach%</t>
  </si>
  <si>
    <t>North</t>
  </si>
  <si>
    <t>1,652,868</t>
  </si>
  <si>
    <t>96.9%</t>
  </si>
  <si>
    <t>South</t>
  </si>
  <si>
    <t>2,868,169</t>
  </si>
  <si>
    <t>92.3%</t>
  </si>
  <si>
    <t>East</t>
  </si>
  <si>
    <t>1,908,239</t>
  </si>
  <si>
    <t>94.0%</t>
  </si>
  <si>
    <t>West</t>
  </si>
  <si>
    <t>1,610,590</t>
  </si>
  <si>
    <t>92.1%</t>
  </si>
  <si>
    <t>Central</t>
  </si>
  <si>
    <t>1,242,295</t>
  </si>
  <si>
    <t>93.5%</t>
  </si>
  <si>
    <t xml:space="preserve">  📦  PRODUCT CATEGORY ANALYSIS</t>
  </si>
  <si>
    <t xml:space="preserve">  🏢  CUSTOMER SEGMENT REVENUE</t>
  </si>
  <si>
    <t xml:space="preserve">  📅  QUARTERLY REVENUE BREAKDOWN</t>
  </si>
  <si>
    <t xml:space="preserve">  📊  REVENUE VARIANCE ANALYSIS (30 Orders)</t>
  </si>
  <si>
    <t xml:space="preserve">  💰  PROFITABILITY ANALYSIS BY PRODUCT</t>
  </si>
  <si>
    <t>Order ID</t>
  </si>
  <si>
    <t>Variance %</t>
  </si>
  <si>
    <t>Status</t>
  </si>
  <si>
    <t>ORD-1001</t>
  </si>
  <si>
    <t>-5.36%</t>
  </si>
  <si>
    <t>▼ Under</t>
  </si>
  <si>
    <t>ORD-1002</t>
  </si>
  <si>
    <t>+17.33%</t>
  </si>
  <si>
    <t>▲ Over</t>
  </si>
  <si>
    <t>ORD-1003</t>
  </si>
  <si>
    <t>-5.78%</t>
  </si>
  <si>
    <t>ORD-1004</t>
  </si>
  <si>
    <t>-8.81%</t>
  </si>
  <si>
    <t>ORD-1005</t>
  </si>
  <si>
    <t>+8.30%</t>
  </si>
  <si>
    <t>ORD-1006</t>
  </si>
  <si>
    <t>-8.22%</t>
  </si>
  <si>
    <t>ORD-1007</t>
  </si>
  <si>
    <t>+8.18%</t>
  </si>
  <si>
    <t>ORD-1008</t>
  </si>
  <si>
    <t>+1.03%</t>
  </si>
  <si>
    <t>✓ On Track</t>
  </si>
  <si>
    <t>ORD-1009</t>
  </si>
  <si>
    <t>+1.56%</t>
  </si>
  <si>
    <t>ORD-1010</t>
  </si>
  <si>
    <t>-0.22%</t>
  </si>
  <si>
    <t>ORD-1011</t>
  </si>
  <si>
    <t>+6.85%</t>
  </si>
  <si>
    <t>ORD-1012</t>
  </si>
  <si>
    <t>-7.30%</t>
  </si>
  <si>
    <t>ORD-1013</t>
  </si>
  <si>
    <t>+6.30%</t>
  </si>
  <si>
    <t>ORD-1014</t>
  </si>
  <si>
    <t>-5.93%</t>
  </si>
  <si>
    <t>ORD-1015</t>
  </si>
  <si>
    <t>+9.07%</t>
  </si>
  <si>
    <t xml:space="preserve">  💡  KEY BUSINESS INSIGHTS &amp; RECOMMENDATIONS</t>
  </si>
  <si>
    <t>North &amp; East</t>
  </si>
  <si>
    <t>Q4 Seasonality</t>
  </si>
  <si>
    <t>Forecast Accuracy</t>
  </si>
  <si>
    <t>Target Gap</t>
  </si>
  <si>
    <t>Product Mix</t>
  </si>
  <si>
    <t>North generates ₹1.65M revenue. East shows highest growth rate. Increase budget allocation by 20% in Q1 2025.</t>
  </si>
  <si>
    <t>Q4 delivers ₹3.15M — 34% of annual revenue. Plan major campaigns and stock allocation around Q4 demand spike.</t>
  </si>
  <si>
    <t>99.57% forecast accuracy is excellent. Subscription category is the most predictable segment for planning.</t>
  </si>
  <si>
    <t>Avg target achievement is 93.56% — below the 95% benchmark. SMB segment shows most consistent under-achievement.</t>
  </si>
  <si>
    <t>Consulting has highest margin. Software leads revenue. Shift mix toward Consulting + Subscriptions for better profitability.</t>
  </si>
  <si>
    <t>Sales Forecasting &amp; Revenue Trend Analysis  |  Data: Jan 2023 – Dec 2024  |  120 Transactions  |  For Portfolio &amp; Business Review Use</t>
  </si>
  <si>
    <t>Month</t>
  </si>
  <si>
    <t>Revenue</t>
  </si>
  <si>
    <t>Profit</t>
  </si>
  <si>
    <t>Target%</t>
  </si>
  <si>
    <t>Product</t>
  </si>
  <si>
    <t>Segment</t>
  </si>
  <si>
    <t>Quarter</t>
  </si>
  <si>
    <t>Order</t>
  </si>
  <si>
    <t>Forecast</t>
  </si>
  <si>
    <t>Actual</t>
  </si>
  <si>
    <t>Variance%</t>
  </si>
  <si>
    <t>Jan-23</t>
  </si>
  <si>
    <t>Software</t>
  </si>
  <si>
    <t>Enterprise</t>
  </si>
  <si>
    <t>Q1</t>
  </si>
  <si>
    <t>Feb-23</t>
  </si>
  <si>
    <t>Hardware</t>
  </si>
  <si>
    <t>Government</t>
  </si>
  <si>
    <t>Q2</t>
  </si>
  <si>
    <t>Mar-23</t>
  </si>
  <si>
    <t>Services</t>
  </si>
  <si>
    <t>SMB</t>
  </si>
  <si>
    <t>Q3</t>
  </si>
  <si>
    <t>Apr-23</t>
  </si>
  <si>
    <t>Consulting</t>
  </si>
  <si>
    <t>Mid-Market</t>
  </si>
  <si>
    <t>Q4</t>
  </si>
  <si>
    <t>May-23</t>
  </si>
  <si>
    <t>Subscriptions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</si>
  <si>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</si>
  <si>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</si>
  <si>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</si>
  <si>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</si>
  <si>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</si>
  <si>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</si>
  <si>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</si>
  <si>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</si>
  <si>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</si>
  <si>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</si>
  <si>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</si>
  <si>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ORD-1016</t>
  </si>
  <si>
    <t>May-24</t>
  </si>
  <si>
    <t>ORD-1017</t>
  </si>
  <si>
    <t>Jun-24</t>
  </si>
  <si>
    <t>ORD-1018</t>
  </si>
  <si>
    <t>Jul-24</t>
  </si>
  <si>
    <t>ORD-1019</t>
  </si>
  <si>
    <t>Aug-24</t>
  </si>
  <si>
    <t>ORD-1020</t>
  </si>
  <si>
    <t>Sep-24</t>
  </si>
  <si>
    <t>ORD-1021</t>
  </si>
  <si>
    <t>Oct-24</t>
  </si>
  <si>
    <t>ORD-1022</t>
  </si>
  <si>
    <t>Nov-24</t>
  </si>
  <si>
    <t>ORD-1023</t>
  </si>
  <si>
    <t>Dec-24</t>
  </si>
  <si>
    <t>ORD-1024</t>
  </si>
  <si>
    <t>ORD-1025</t>
  </si>
  <si>
    <t>ORD-1026</t>
  </si>
  <si>
    <t>ORD-1027</t>
  </si>
  <si>
    <t>ORD-1028</t>
  </si>
  <si>
    <t>ORD-1029</t>
  </si>
  <si>
    <t>ORD-1030</t>
  </si>
  <si>
    <t>Revenue (₹)</t>
  </si>
  <si>
    <t>Profit (₹)</t>
  </si>
  <si>
    <t>Profit Margin %</t>
  </si>
  <si>
    <t>MoM Growth %</t>
  </si>
  <si>
    <t>Total Revenue (₹)</t>
  </si>
  <si>
    <t>Total Profit (₹)</t>
  </si>
  <si>
    <t>Avg Target Achievement %</t>
  </si>
  <si>
    <t>Revenue Share %</t>
  </si>
  <si>
    <t>TOTAL</t>
  </si>
  <si>
    <t>KPI Dashboard — Sales Forecasting &amp; Revenue Trend Analysis</t>
  </si>
  <si>
    <t>KPI Metric</t>
  </si>
  <si>
    <t>Value</t>
  </si>
  <si>
    <t>Target Benchmark</t>
  </si>
  <si>
    <t>Trend</t>
  </si>
  <si>
    <t>Notes</t>
  </si>
  <si>
    <t>9,282,162</t>
  </si>
  <si>
    <t>&gt; ₹5,000,000</t>
  </si>
  <si>
    <t>▲ Growing</t>
  </si>
  <si>
    <t>Sum of all 120 transactions</t>
  </si>
  <si>
    <t>&gt; 30%</t>
  </si>
  <si>
    <t>✓ Healthy</t>
  </si>
  <si>
    <t>▲ Stable</t>
  </si>
  <si>
    <t>Well above 30% benchmark</t>
  </si>
  <si>
    <t>Forecast Accuracy %</t>
  </si>
  <si>
    <t>&gt; 85%</t>
  </si>
  <si>
    <t>✓ Excellent</t>
  </si>
  <si>
    <t>▲ Strong</t>
  </si>
  <si>
    <t>Avg variance only -0.43%</t>
  </si>
  <si>
    <t>Revenue Variance %</t>
  </si>
  <si>
    <t>-0.43%</t>
  </si>
  <si>
    <t>Within ±10%</t>
  </si>
  <si>
    <t>✓ In Range</t>
  </si>
  <si>
    <t>→ Flat</t>
  </si>
  <si>
    <t>Slightly under-forecasted</t>
  </si>
  <si>
    <t>Target Achievement %</t>
  </si>
  <si>
    <t>&gt; 95%</t>
  </si>
  <si>
    <t>⚠ Below</t>
  </si>
  <si>
    <t>▼ Review</t>
  </si>
  <si>
    <t>SMB segment dragging average</t>
  </si>
  <si>
    <t>4,101,231</t>
  </si>
  <si>
    <t>Positive</t>
  </si>
  <si>
    <t>✓ Positive</t>
  </si>
  <si>
    <t>Healthy positive profit</t>
  </si>
  <si>
    <t>Avg Revenue per Order (₹)</t>
  </si>
  <si>
    <t>77,351</t>
  </si>
  <si>
    <t>Trend Upward</t>
  </si>
  <si>
    <t>✓ Stable</t>
  </si>
  <si>
    <t>→ Stable</t>
  </si>
  <si>
    <t>Consistent order quality</t>
  </si>
  <si>
    <t>Total Units Sold</t>
  </si>
  <si>
    <t>3,342</t>
  </si>
  <si>
    <t>Strong volume</t>
  </si>
  <si>
    <t>Total Marketing Spend (₹)</t>
  </si>
  <si>
    <t>967,912</t>
  </si>
  <si>
    <t>Monitor ROI</t>
  </si>
  <si>
    <t>→ Review</t>
  </si>
  <si>
    <t>10.4% of revenue</t>
  </si>
  <si>
    <t>Marketing ROI</t>
  </si>
  <si>
    <t>9.6x</t>
  </si>
  <si>
    <t>&gt; 5x</t>
  </si>
  <si>
    <t>✓ Strong</t>
  </si>
  <si>
    <t>▲ Healthy</t>
  </si>
  <si>
    <t>Revenue / Marketing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</si>
</sst>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b/>
      <sz val="8"/>
      <color rgb="FF1F4E79"/>
      <name val="Arial"/>
      <family val="2"/>
    </font>
    <font>
      <b/>
      <sz val="8"/>
      <color rgb="FF375623"/>
      <name val="Arial"/>
      <family val="2"/>
    </font>
    <font>
      <b/>
      <sz val="8"/>
      <color rgb="FF2E75B6"/>
      <name val="Arial"/>
      <family val="2"/>
    </font>
    <font>
      <b/>
      <sz val="8"/>
      <color rgb="FFC55A11"/>
      <name val="Arial"/>
      <family val="2"/>
    </font>
    <font>
      <b/>
      <sz val="8"/>
      <color rgb="FF7030A0"/>
      <name val="Arial"/>
      <family val="2"/>
    </font>
    <font>
      <b/>
      <sz val="18"/>
      <color rgb="FF1F4E79"/>
      <name val="Arial"/>
      <family val="2"/>
    </font>
    <font>
      <b/>
      <sz val="18"/>
      <color rgb="FF375623"/>
      <name val="Arial"/>
      <family val="2"/>
    </font>
    <font>
      <b/>
      <sz val="18"/>
      <color rgb="FF2E75B6"/>
      <name val="Arial"/>
      <family val="2"/>
    </font>
    <font>
      <b/>
      <sz val="18"/>
      <color rgb="FFC55A11"/>
      <name val="Arial"/>
      <family val="2"/>
    </font>
    <font>
      <b/>
      <sz val="18"/>
      <color rgb="FF7030A0"/>
      <name val="Arial"/>
      <family val="2"/>
    </font>
    <font>
      <i/>
      <sz val="8"/>
      <color rgb="FF1F4E79"/>
      <name val="Arial"/>
      <family val="2"/>
    </font>
    <font>
      <i/>
      <sz val="8"/>
      <color rgb="FF375623"/>
      <name val="Arial"/>
      <family val="2"/>
    </font>
    <font>
      <i/>
      <sz val="8"/>
      <color rgb="FF2E75B6"/>
      <name val="Arial"/>
      <family val="2"/>
    </font>
    <font>
      <i/>
      <sz val="8"/>
      <color rgb="FFC55A11"/>
      <name val="Arial"/>
      <family val="2"/>
    </font>
    <font>
      <i/>
      <sz val="8"/>
      <color rgb="FF7030A0"/>
      <name val="Arial"/>
      <family val="2"/>
    </font>
    <font>
      <b/>
      <sz val="10"/>
      <color rgb="FFFFFFFF"/>
      <name val="Arial"/>
      <family val="2"/>
    </font>
    <font>
      <b/>
      <sz val="8"/>
      <color rgb="FFFFFFFF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sz val="9"/>
      <color rgb="FFC00000"/>
      <name val="Arial"/>
      <family val="2"/>
    </font>
    <font>
      <sz val="9"/>
      <color rgb="FF375623"/>
      <name val="Arial"/>
      <family val="2"/>
    </font>
    <font>
      <sz val="8"/>
      <color rgb="FF404040"/>
      <name val="Arial"/>
      <family val="2"/>
    </font>
    <font>
      <i/>
      <sz val="8"/>
      <color rgb="FF808080"/>
      <name val="Arial"/>
      <family val="2"/>
    </font>
    <font>
      <b/>
      <sz val="9"/>
      <name val="Arial"/>
      <family val="2"/>
    </font>
    <font>
      <b/>
      <sz val="14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CCCCCC"/>
      </patternFill>
    </fill>
    <fill>
      <patternFill patternType="solid">
        <fgColor rgb="FFE2EFDA"/>
        <bgColor rgb="FFDEEAF1"/>
      </patternFill>
    </fill>
    <fill>
      <patternFill patternType="solid">
        <fgColor rgb="FFDEEAF1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8D5F5"/>
        <bgColor rgb="FFD9D9D9"/>
      </patternFill>
    </fill>
    <fill>
      <patternFill patternType="solid">
        <fgColor rgb="FF2E75B6"/>
        <bgColor rgb="FF4F81BD"/>
      </patternFill>
    </fill>
    <fill>
      <patternFill patternType="solid">
        <fgColor rgb="FF375623"/>
        <bgColor rgb="FF404040"/>
      </patternFill>
    </fill>
    <fill>
      <patternFill patternType="solid">
        <fgColor rgb="FF7030A0"/>
        <bgColor rgb="FF800080"/>
      </patternFill>
    </fill>
    <fill>
      <patternFill patternType="solid">
        <fgColor rgb="FFC55A11"/>
        <bgColor rgb="FFC0504D"/>
      </patternFill>
    </fill>
    <fill>
      <patternFill patternType="solid">
        <fgColor rgb="FFF2F2F2"/>
        <bgColor rgb="FFEBF3FB"/>
      </patternFill>
    </fill>
    <fill>
      <patternFill patternType="solid">
        <fgColor rgb="FFEBF3FB"/>
        <bgColor rgb="FFF2F2F2"/>
      </patternFill>
    </fill>
    <fill>
      <patternFill patternType="solid">
        <fgColor rgb="FFFFFFFF"/>
        <bgColor rgb="FFF9F9F9"/>
      </patternFill>
    </fill>
    <fill>
      <patternFill patternType="solid">
        <fgColor rgb="FFFFF2CC"/>
        <bgColor rgb="FFFCE4D6"/>
      </patternFill>
    </fill>
    <fill>
      <patternFill patternType="solid">
        <fgColor theme="0"/>
        <bgColor rgb="FF003366"/>
      </patternFill>
    </fill>
    <fill>
      <patternFill patternType="solid">
        <fgColor theme="0"/>
        <bgColor rgb="FFC0504D"/>
      </patternFill>
    </fill>
    <fill>
      <patternFill patternType="solid">
        <fgColor theme="0"/>
        <bgColor rgb="FF404040"/>
      </patternFill>
    </fill>
    <fill>
      <patternFill patternType="solid">
        <fgColor theme="0"/>
        <bgColor rgb="FF800000"/>
      </patternFill>
    </fill>
    <fill>
      <patternFill patternType="solid">
        <fgColor theme="0"/>
        <bgColor rgb="FF80008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4" fillId="5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8" fillId="8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/>
    </xf>
    <xf numFmtId="4" fontId="19" fillId="13" borderId="1" xfId="0" applyNumberFormat="1" applyFont="1" applyFill="1" applyBorder="1" applyAlignment="1">
      <alignment horizontal="center" vertical="center"/>
    </xf>
    <xf numFmtId="2" fontId="19" fillId="13" borderId="1" xfId="0" applyNumberFormat="1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/>
    </xf>
    <xf numFmtId="4" fontId="19" fillId="14" borderId="1" xfId="0" applyNumberFormat="1" applyFont="1" applyFill="1" applyBorder="1" applyAlignment="1">
      <alignment horizontal="center" vertical="center"/>
    </xf>
    <xf numFmtId="2" fontId="19" fillId="14" borderId="1" xfId="0" applyNumberFormat="1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4" fontId="19" fillId="4" borderId="1" xfId="0" applyNumberFormat="1" applyFont="1" applyFill="1" applyBorder="1" applyAlignment="1">
      <alignment horizontal="center" vertical="center"/>
    </xf>
    <xf numFmtId="2" fontId="19" fillId="4" borderId="1" xfId="0" applyNumberFormat="1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4" fontId="25" fillId="3" borderId="1" xfId="0" applyNumberFormat="1" applyFont="1" applyFill="1" applyBorder="1" applyAlignment="1">
      <alignment horizontal="center" vertical="center"/>
    </xf>
    <xf numFmtId="2" fontId="25" fillId="3" borderId="1" xfId="0" applyNumberFormat="1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left" vertical="center"/>
    </xf>
    <xf numFmtId="0" fontId="28" fillId="13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27" fillId="14" borderId="1" xfId="0" applyFont="1" applyFill="1" applyBorder="1" applyAlignment="1">
      <alignment horizontal="left" vertical="center"/>
    </xf>
    <xf numFmtId="0" fontId="28" fillId="14" borderId="1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28" fillId="15" borderId="1" xfId="0" applyFont="1" applyFill="1" applyBorder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17" fillId="8" borderId="0" xfId="0" applyFont="1" applyFill="1" applyAlignment="1">
      <alignment horizontal="left" vertical="center"/>
    </xf>
    <xf numFmtId="0" fontId="17" fillId="9" borderId="0" xfId="0" applyFont="1" applyFill="1" applyAlignment="1">
      <alignment horizontal="left" vertical="center"/>
    </xf>
    <xf numFmtId="0" fontId="17" fillId="10" borderId="0" xfId="0" applyFont="1" applyFill="1" applyAlignment="1">
      <alignment horizontal="left" vertical="center"/>
    </xf>
    <xf numFmtId="0" fontId="17" fillId="11" borderId="0" xfId="0" applyFont="1" applyFill="1" applyAlignment="1">
      <alignment horizontal="left" vertical="center"/>
    </xf>
    <xf numFmtId="0" fontId="23" fillId="12" borderId="2" xfId="0" applyFont="1" applyFill="1" applyBorder="1" applyAlignment="1">
      <alignment horizontal="left" vertical="top" wrapText="1"/>
    </xf>
    <xf numFmtId="0" fontId="24" fillId="0" borderId="0" xfId="0" applyFont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17" fillId="16" borderId="0" xfId="0" applyFont="1" applyFill="1" applyAlignment="1">
      <alignment horizontal="left" vertical="center"/>
    </xf>
    <xf numFmtId="0" fontId="20" fillId="17" borderId="0" xfId="0" applyFont="1" applyFill="1" applyAlignment="1">
      <alignment horizontal="center" vertical="center"/>
    </xf>
    <xf numFmtId="0" fontId="20" fillId="16" borderId="0" xfId="0" applyFont="1" applyFill="1" applyAlignment="1">
      <alignment horizontal="center" vertical="center"/>
    </xf>
    <xf numFmtId="0" fontId="20" fillId="18" borderId="0" xfId="0" applyFont="1" applyFill="1" applyAlignment="1">
      <alignment horizontal="center" vertical="center"/>
    </xf>
    <xf numFmtId="0" fontId="20" fillId="19" borderId="0" xfId="0" applyFont="1" applyFill="1" applyAlignment="1">
      <alignment horizontal="center" vertical="center"/>
    </xf>
    <xf numFmtId="0" fontId="20" fillId="20" borderId="0" xfId="0" applyFont="1" applyFill="1" applyAlignment="1">
      <alignment horizontal="center" vertical="center"/>
    </xf>
    <xf numFmtId="0" fontId="20" fillId="17" borderId="0" xfId="0" applyFont="1" applyFill="1" applyAlignment="1">
      <alignment horizontal="center" vertical="center"/>
    </xf>
    <xf numFmtId="0" fontId="20" fillId="16" borderId="0" xfId="0" applyFont="1" applyFill="1" applyAlignment="1">
      <alignment horizontal="center" vertical="center"/>
    </xf>
    <xf numFmtId="0" fontId="20" fillId="18" borderId="0" xfId="0" applyFont="1" applyFill="1" applyAlignment="1">
      <alignment horizontal="center" vertical="center"/>
    </xf>
    <xf numFmtId="0" fontId="20" fillId="19" borderId="0" xfId="0" applyFont="1" applyFill="1" applyAlignment="1">
      <alignment horizontal="center" vertical="center"/>
    </xf>
    <xf numFmtId="0" fontId="20" fillId="20" borderId="0" xfId="0" applyFont="1" applyFill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7" fillId="1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0AD47"/>
      <rgbColor rgb="FF800080"/>
      <rgbColor rgb="FF008080"/>
      <rgbColor rgb="FFCCCCCC"/>
      <rgbColor rgb="FF808080"/>
      <rgbColor rgb="FF9999FF"/>
      <rgbColor rgb="FF7030A0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2F2F2"/>
      <rgbColor rgb="FFD9D9D9"/>
      <rgbColor rgb="FFF9F9F9"/>
      <rgbColor rgb="FFE8D5F5"/>
      <rgbColor rgb="FFFCE4D6"/>
      <rgbColor rgb="FF2E75B6"/>
      <rgbColor rgb="FF4BACC6"/>
      <rgbColor rgb="FF9BBB59"/>
      <rgbColor rgb="FFFFCC00"/>
      <rgbColor rgb="FFFF9900"/>
      <rgbColor rgb="FFED7D31"/>
      <rgbColor rgb="FF8064A2"/>
      <rgbColor rgb="FF878787"/>
      <rgbColor rgb="FF003366"/>
      <rgbColor rgb="FF4F81BD"/>
      <rgbColor rgb="FF003300"/>
      <rgbColor rgb="FF375623"/>
      <rgbColor rgb="FFC55A11"/>
      <rgbColor rgb="FFC0504D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Revenue (₹)</c:v>
          </c:tx>
          <c:spPr>
            <a:solidFill>
              <a:srgbClr val="2E75B6"/>
            </a:solidFill>
            <a:ln w="9360">
              <a:solidFill>
                <a:srgbClr val="2E75B6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ChartData!$A$2:$A$25</c:f>
              <c:strCache>
                <c:ptCount val="24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  <c:pt idx="12">
                  <c:v>Jan-24</c:v>
                </c:pt>
                <c:pt idx="13">
                  <c:v>Feb-24</c:v>
                </c:pt>
                <c:pt idx="14">
                  <c:v>Mar-24</c:v>
                </c:pt>
                <c:pt idx="15">
                  <c:v>Apr-24</c:v>
                </c:pt>
                <c:pt idx="16">
                  <c:v>May-24</c:v>
                </c:pt>
                <c:pt idx="17">
                  <c:v>Jun-24</c:v>
                </c:pt>
                <c:pt idx="18">
                  <c:v>Jul-24</c:v>
                </c:pt>
                <c:pt idx="19">
                  <c:v>Aug-24</c:v>
                </c:pt>
                <c:pt idx="20">
                  <c:v>Sep-24</c:v>
                </c:pt>
                <c:pt idx="21">
                  <c:v>Oct-24</c:v>
                </c:pt>
                <c:pt idx="22">
                  <c:v>Nov-24</c:v>
                </c:pt>
                <c:pt idx="23">
                  <c:v>Dec-24</c:v>
                </c:pt>
              </c:strCache>
            </c:strRef>
          </c:cat>
          <c:val>
            <c:numRef>
              <c:f>ChartData!$B$1:$B$25</c:f>
              <c:numCache>
                <c:formatCode>General</c:formatCode>
                <c:ptCount val="25"/>
                <c:pt idx="0">
                  <c:v>0</c:v>
                </c:pt>
                <c:pt idx="1">
                  <c:v>26987.4</c:v>
                </c:pt>
                <c:pt idx="2">
                  <c:v>329900.74</c:v>
                </c:pt>
                <c:pt idx="3">
                  <c:v>566393.79</c:v>
                </c:pt>
                <c:pt idx="4">
                  <c:v>650378.98</c:v>
                </c:pt>
                <c:pt idx="5">
                  <c:v>510113.95</c:v>
                </c:pt>
                <c:pt idx="6">
                  <c:v>534841.11</c:v>
                </c:pt>
                <c:pt idx="7">
                  <c:v>0</c:v>
                </c:pt>
                <c:pt idx="8">
                  <c:v>610593.84</c:v>
                </c:pt>
                <c:pt idx="9">
                  <c:v>414982.36</c:v>
                </c:pt>
                <c:pt idx="10">
                  <c:v>254843.51</c:v>
                </c:pt>
                <c:pt idx="11">
                  <c:v>24236.16</c:v>
                </c:pt>
                <c:pt idx="12">
                  <c:v>554681.86</c:v>
                </c:pt>
                <c:pt idx="13">
                  <c:v>367676.59</c:v>
                </c:pt>
                <c:pt idx="14">
                  <c:v>15884.82</c:v>
                </c:pt>
                <c:pt idx="15">
                  <c:v>0</c:v>
                </c:pt>
                <c:pt idx="16">
                  <c:v>619852.68999999994</c:v>
                </c:pt>
                <c:pt idx="17">
                  <c:v>410603.6</c:v>
                </c:pt>
                <c:pt idx="18">
                  <c:v>49654.63</c:v>
                </c:pt>
                <c:pt idx="19">
                  <c:v>474535.79</c:v>
                </c:pt>
                <c:pt idx="20">
                  <c:v>419450.67</c:v>
                </c:pt>
                <c:pt idx="21">
                  <c:v>134867.67000000001</c:v>
                </c:pt>
                <c:pt idx="22">
                  <c:v>549118.21</c:v>
                </c:pt>
                <c:pt idx="23">
                  <c:v>786591.08</c:v>
                </c:pt>
                <c:pt idx="24">
                  <c:v>975972.28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EC-4712-B2C0-5077666A3556}"/>
            </c:ext>
          </c:extLst>
        </c:ser>
        <c:ser>
          <c:idx val="1"/>
          <c:order val="1"/>
          <c:tx>
            <c:v>Profit (₹)</c:v>
          </c:tx>
          <c:spPr>
            <a:solidFill>
              <a:srgbClr val="70AD47"/>
            </a:solidFill>
            <a:ln w="9360">
              <a:solidFill>
                <a:srgbClr val="70AD47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ChartData!$A$2:$A$25</c:f>
              <c:strCache>
                <c:ptCount val="24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  <c:pt idx="12">
                  <c:v>Jan-24</c:v>
                </c:pt>
                <c:pt idx="13">
                  <c:v>Feb-24</c:v>
                </c:pt>
                <c:pt idx="14">
                  <c:v>Mar-24</c:v>
                </c:pt>
                <c:pt idx="15">
                  <c:v>Apr-24</c:v>
                </c:pt>
                <c:pt idx="16">
                  <c:v>May-24</c:v>
                </c:pt>
                <c:pt idx="17">
                  <c:v>Jun-24</c:v>
                </c:pt>
                <c:pt idx="18">
                  <c:v>Jul-24</c:v>
                </c:pt>
                <c:pt idx="19">
                  <c:v>Aug-24</c:v>
                </c:pt>
                <c:pt idx="20">
                  <c:v>Sep-24</c:v>
                </c:pt>
                <c:pt idx="21">
                  <c:v>Oct-24</c:v>
                </c:pt>
                <c:pt idx="22">
                  <c:v>Nov-24</c:v>
                </c:pt>
                <c:pt idx="23">
                  <c:v>Dec-24</c:v>
                </c:pt>
              </c:strCache>
            </c:strRef>
          </c:cat>
          <c:val>
            <c:numRef>
              <c:f>ChartData!$C$1:$C$25</c:f>
              <c:numCache>
                <c:formatCode>General</c:formatCode>
                <c:ptCount val="25"/>
                <c:pt idx="0">
                  <c:v>0</c:v>
                </c:pt>
                <c:pt idx="1">
                  <c:v>13542.97</c:v>
                </c:pt>
                <c:pt idx="2">
                  <c:v>154365.71</c:v>
                </c:pt>
                <c:pt idx="3">
                  <c:v>260493.36</c:v>
                </c:pt>
                <c:pt idx="4">
                  <c:v>301307.90000000002</c:v>
                </c:pt>
                <c:pt idx="5">
                  <c:v>248721.85</c:v>
                </c:pt>
                <c:pt idx="6">
                  <c:v>239114.32</c:v>
                </c:pt>
                <c:pt idx="7">
                  <c:v>0</c:v>
                </c:pt>
                <c:pt idx="8">
                  <c:v>309674.64</c:v>
                </c:pt>
                <c:pt idx="9">
                  <c:v>179528.79</c:v>
                </c:pt>
                <c:pt idx="10">
                  <c:v>118406.27</c:v>
                </c:pt>
                <c:pt idx="11">
                  <c:v>12191.76</c:v>
                </c:pt>
                <c:pt idx="12">
                  <c:v>247964.67</c:v>
                </c:pt>
                <c:pt idx="13">
                  <c:v>167709.46</c:v>
                </c:pt>
                <c:pt idx="14">
                  <c:v>6282.29</c:v>
                </c:pt>
                <c:pt idx="15">
                  <c:v>0</c:v>
                </c:pt>
                <c:pt idx="16">
                  <c:v>254079.3</c:v>
                </c:pt>
                <c:pt idx="17">
                  <c:v>179721.19</c:v>
                </c:pt>
                <c:pt idx="18">
                  <c:v>22933.53</c:v>
                </c:pt>
                <c:pt idx="19">
                  <c:v>212626.05</c:v>
                </c:pt>
                <c:pt idx="20">
                  <c:v>172055.22</c:v>
                </c:pt>
                <c:pt idx="21">
                  <c:v>62103.76</c:v>
                </c:pt>
                <c:pt idx="22">
                  <c:v>232730.9</c:v>
                </c:pt>
                <c:pt idx="23">
                  <c:v>322048.90000000002</c:v>
                </c:pt>
                <c:pt idx="24">
                  <c:v>383627.98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EC-4712-B2C0-5077666A3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48195"/>
        <c:axId val="37918886"/>
      </c:barChart>
      <c:catAx>
        <c:axId val="12848195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918886"/>
        <c:crosses val="autoZero"/>
        <c:auto val="1"/>
        <c:lblAlgn val="ctr"/>
        <c:lblOffset val="100"/>
        <c:noMultiLvlLbl val="0"/>
      </c:catAx>
      <c:valAx>
        <c:axId val="379188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84819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Forecasted Revenue</c:v>
          </c:tx>
          <c:spPr>
            <a:solidFill>
              <a:srgbClr val="ED7D31"/>
            </a:solidFill>
            <a:ln w="9360">
              <a:solidFill>
                <a:srgbClr val="ED7D3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ChartData!$S$2:$S$21</c:f>
              <c:strCache>
                <c:ptCount val="20"/>
                <c:pt idx="0">
                  <c:v>ORD-1001</c:v>
                </c:pt>
                <c:pt idx="1">
                  <c:v>ORD-1002</c:v>
                </c:pt>
                <c:pt idx="2">
                  <c:v>ORD-1003</c:v>
                </c:pt>
                <c:pt idx="3">
                  <c:v>ORD-1004</c:v>
                </c:pt>
                <c:pt idx="4">
                  <c:v>ORD-1005</c:v>
                </c:pt>
                <c:pt idx="5">
                  <c:v>ORD-1006</c:v>
                </c:pt>
                <c:pt idx="6">
                  <c:v>ORD-1007</c:v>
                </c:pt>
                <c:pt idx="7">
                  <c:v>ORD-1008</c:v>
                </c:pt>
                <c:pt idx="8">
                  <c:v>ORD-1009</c:v>
                </c:pt>
                <c:pt idx="9">
                  <c:v>ORD-1010</c:v>
                </c:pt>
                <c:pt idx="10">
                  <c:v>ORD-1011</c:v>
                </c:pt>
                <c:pt idx="11">
                  <c:v>ORD-1012</c:v>
                </c:pt>
                <c:pt idx="12">
                  <c:v>ORD-1013</c:v>
                </c:pt>
                <c:pt idx="13">
                  <c:v>ORD-1014</c:v>
                </c:pt>
                <c:pt idx="14">
                  <c:v>ORD-1015</c:v>
                </c:pt>
                <c:pt idx="15">
                  <c:v>ORD-1016</c:v>
                </c:pt>
                <c:pt idx="16">
                  <c:v>ORD-1017</c:v>
                </c:pt>
                <c:pt idx="17">
                  <c:v>ORD-1018</c:v>
                </c:pt>
                <c:pt idx="18">
                  <c:v>ORD-1019</c:v>
                </c:pt>
                <c:pt idx="19">
                  <c:v>ORD-1020</c:v>
                </c:pt>
              </c:strCache>
            </c:strRef>
          </c:cat>
          <c:val>
            <c:numRef>
              <c:f>ChartData!$T$1:$T$21</c:f>
              <c:numCache>
                <c:formatCode>General</c:formatCode>
                <c:ptCount val="21"/>
                <c:pt idx="0">
                  <c:v>0</c:v>
                </c:pt>
                <c:pt idx="1">
                  <c:v>35097.42</c:v>
                </c:pt>
                <c:pt idx="2">
                  <c:v>28950.89</c:v>
                </c:pt>
                <c:pt idx="3">
                  <c:v>4793.13</c:v>
                </c:pt>
                <c:pt idx="4">
                  <c:v>142475.21</c:v>
                </c:pt>
                <c:pt idx="5">
                  <c:v>90060.160000000003</c:v>
                </c:pt>
                <c:pt idx="6">
                  <c:v>97079.01</c:v>
                </c:pt>
                <c:pt idx="7">
                  <c:v>59313.24</c:v>
                </c:pt>
                <c:pt idx="8">
                  <c:v>50618.46</c:v>
                </c:pt>
                <c:pt idx="9">
                  <c:v>39075.89</c:v>
                </c:pt>
                <c:pt idx="10">
                  <c:v>72714.53</c:v>
                </c:pt>
                <c:pt idx="11">
                  <c:v>61234.559999999998</c:v>
                </c:pt>
                <c:pt idx="12">
                  <c:v>45678.9</c:v>
                </c:pt>
                <c:pt idx="13">
                  <c:v>123456.78</c:v>
                </c:pt>
                <c:pt idx="14">
                  <c:v>87654.32</c:v>
                </c:pt>
                <c:pt idx="15">
                  <c:v>34521.9</c:v>
                </c:pt>
                <c:pt idx="16">
                  <c:v>78432.100000000006</c:v>
                </c:pt>
                <c:pt idx="17">
                  <c:v>92345.67</c:v>
                </c:pt>
                <c:pt idx="18">
                  <c:v>56789.01</c:v>
                </c:pt>
                <c:pt idx="19">
                  <c:v>45123.78</c:v>
                </c:pt>
                <c:pt idx="20">
                  <c:v>67890.12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5A-452D-9E5E-054BDD273220}"/>
            </c:ext>
          </c:extLst>
        </c:ser>
        <c:ser>
          <c:idx val="1"/>
          <c:order val="1"/>
          <c:tx>
            <c:v>Actual Revenue</c:v>
          </c:tx>
          <c:spPr>
            <a:solidFill>
              <a:srgbClr val="2E75B6"/>
            </a:solidFill>
            <a:ln w="9360">
              <a:solidFill>
                <a:srgbClr val="2E75B6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ChartData!$S$2:$S$21</c:f>
              <c:strCache>
                <c:ptCount val="20"/>
                <c:pt idx="0">
                  <c:v>ORD-1001</c:v>
                </c:pt>
                <c:pt idx="1">
                  <c:v>ORD-1002</c:v>
                </c:pt>
                <c:pt idx="2">
                  <c:v>ORD-1003</c:v>
                </c:pt>
                <c:pt idx="3">
                  <c:v>ORD-1004</c:v>
                </c:pt>
                <c:pt idx="4">
                  <c:v>ORD-1005</c:v>
                </c:pt>
                <c:pt idx="5">
                  <c:v>ORD-1006</c:v>
                </c:pt>
                <c:pt idx="6">
                  <c:v>ORD-1007</c:v>
                </c:pt>
                <c:pt idx="7">
                  <c:v>ORD-1008</c:v>
                </c:pt>
                <c:pt idx="8">
                  <c:v>ORD-1009</c:v>
                </c:pt>
                <c:pt idx="9">
                  <c:v>ORD-1010</c:v>
                </c:pt>
                <c:pt idx="10">
                  <c:v>ORD-1011</c:v>
                </c:pt>
                <c:pt idx="11">
                  <c:v>ORD-1012</c:v>
                </c:pt>
                <c:pt idx="12">
                  <c:v>ORD-1013</c:v>
                </c:pt>
                <c:pt idx="13">
                  <c:v>ORD-1014</c:v>
                </c:pt>
                <c:pt idx="14">
                  <c:v>ORD-1015</c:v>
                </c:pt>
                <c:pt idx="15">
                  <c:v>ORD-1016</c:v>
                </c:pt>
                <c:pt idx="16">
                  <c:v>ORD-1017</c:v>
                </c:pt>
                <c:pt idx="17">
                  <c:v>ORD-1018</c:v>
                </c:pt>
                <c:pt idx="18">
                  <c:v>ORD-1019</c:v>
                </c:pt>
                <c:pt idx="19">
                  <c:v>ORD-1020</c:v>
                </c:pt>
              </c:strCache>
            </c:strRef>
          </c:cat>
          <c:val>
            <c:numRef>
              <c:f>ChartData!$U$1:$U$21</c:f>
              <c:numCache>
                <c:formatCode>General</c:formatCode>
                <c:ptCount val="21"/>
                <c:pt idx="0">
                  <c:v>0</c:v>
                </c:pt>
                <c:pt idx="1">
                  <c:v>33215.040000000001</c:v>
                </c:pt>
                <c:pt idx="2">
                  <c:v>33968.97</c:v>
                </c:pt>
                <c:pt idx="3">
                  <c:v>4516.26</c:v>
                </c:pt>
                <c:pt idx="4">
                  <c:v>129924.49</c:v>
                </c:pt>
                <c:pt idx="5">
                  <c:v>97538.7</c:v>
                </c:pt>
                <c:pt idx="6">
                  <c:v>89094.78</c:v>
                </c:pt>
                <c:pt idx="7">
                  <c:v>64162.7</c:v>
                </c:pt>
                <c:pt idx="8">
                  <c:v>51140.6</c:v>
                </c:pt>
                <c:pt idx="9">
                  <c:v>39684.31</c:v>
                </c:pt>
                <c:pt idx="10">
                  <c:v>72557.240000000005</c:v>
                </c:pt>
                <c:pt idx="11">
                  <c:v>65432.1</c:v>
                </c:pt>
                <c:pt idx="12">
                  <c:v>42345.67</c:v>
                </c:pt>
                <c:pt idx="13">
                  <c:v>131234.56</c:v>
                </c:pt>
                <c:pt idx="14">
                  <c:v>82456.78</c:v>
                </c:pt>
                <c:pt idx="15">
                  <c:v>37654.32</c:v>
                </c:pt>
                <c:pt idx="16">
                  <c:v>81234.559999999998</c:v>
                </c:pt>
                <c:pt idx="17">
                  <c:v>95678.9</c:v>
                </c:pt>
                <c:pt idx="18">
                  <c:v>53456.78</c:v>
                </c:pt>
                <c:pt idx="19">
                  <c:v>47890.12</c:v>
                </c:pt>
                <c:pt idx="20">
                  <c:v>71234.559999999998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5A-452D-9E5E-054BDD273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963429"/>
        <c:axId val="47637120"/>
      </c:barChart>
      <c:catAx>
        <c:axId val="529634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637120"/>
        <c:crosses val="autoZero"/>
        <c:auto val="1"/>
        <c:lblAlgn val="ctr"/>
        <c:lblOffset val="100"/>
        <c:noMultiLvlLbl val="0"/>
      </c:catAx>
      <c:valAx>
        <c:axId val="476371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96342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5489452707300477"/>
          <c:y val="8.7373171715711961E-2"/>
          <c:w val="0.7718185574025469"/>
          <c:h val="0.83595600676818949"/>
        </c:manualLayout>
      </c:layout>
      <c:barChart>
        <c:barDir val="bar"/>
        <c:grouping val="clustered"/>
        <c:varyColors val="0"/>
        <c:ser>
          <c:idx val="0"/>
          <c:order val="0"/>
          <c:tx>
            <c:v>Total Revenue (₹)</c:v>
          </c:tx>
          <c:spPr>
            <a:solidFill>
              <a:srgbClr val="1F4E79"/>
            </a:solidFill>
            <a:ln w="9360">
              <a:solidFill>
                <a:srgbClr val="1F4E7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ChartData!$E$2:$E$6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ChartData!$F$1:$F$6</c:f>
              <c:numCache>
                <c:formatCode>General</c:formatCode>
                <c:ptCount val="6"/>
                <c:pt idx="0">
                  <c:v>0</c:v>
                </c:pt>
                <c:pt idx="1">
                  <c:v>1652868.49</c:v>
                </c:pt>
                <c:pt idx="2">
                  <c:v>2868169.35</c:v>
                </c:pt>
                <c:pt idx="3">
                  <c:v>1908239.4</c:v>
                </c:pt>
                <c:pt idx="4">
                  <c:v>1610589.78</c:v>
                </c:pt>
                <c:pt idx="5">
                  <c:v>1242294.71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D7-40EB-A2E6-BDE4BEEB7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34674"/>
        <c:axId val="31320558"/>
      </c:barChart>
      <c:catAx>
        <c:axId val="1723467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320558"/>
        <c:crosses val="autoZero"/>
        <c:auto val="1"/>
        <c:lblAlgn val="ctr"/>
        <c:lblOffset val="100"/>
        <c:noMultiLvlLbl val="0"/>
      </c:catAx>
      <c:valAx>
        <c:axId val="3132055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23467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Revenue (₹)</c:v>
          </c:tx>
          <c:spPr>
            <a:solidFill>
              <a:srgbClr val="375623"/>
            </a:solidFill>
            <a:ln w="9360">
              <a:solidFill>
                <a:srgbClr val="375623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ChartData!$I$2:$I$6</c:f>
              <c:strCache>
                <c:ptCount val="5"/>
                <c:pt idx="0">
                  <c:v>Software</c:v>
                </c:pt>
                <c:pt idx="1">
                  <c:v>Hardware</c:v>
                </c:pt>
                <c:pt idx="2">
                  <c:v>Services</c:v>
                </c:pt>
                <c:pt idx="3">
                  <c:v>Consulting</c:v>
                </c:pt>
                <c:pt idx="4">
                  <c:v>Subscriptions</c:v>
                </c:pt>
              </c:strCache>
            </c:strRef>
          </c:cat>
          <c:val>
            <c:numRef>
              <c:f>ChartData!$J$1:$J$6</c:f>
              <c:numCache>
                <c:formatCode>General</c:formatCode>
                <c:ptCount val="6"/>
                <c:pt idx="0">
                  <c:v>0</c:v>
                </c:pt>
                <c:pt idx="1">
                  <c:v>2859099.87</c:v>
                </c:pt>
                <c:pt idx="2">
                  <c:v>1480793.58</c:v>
                </c:pt>
                <c:pt idx="3">
                  <c:v>1162690.06</c:v>
                </c:pt>
                <c:pt idx="4">
                  <c:v>1956582.85</c:v>
                </c:pt>
                <c:pt idx="5">
                  <c:v>1822995.37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E7-46D4-A8F5-DCCB9F7B0772}"/>
            </c:ext>
          </c:extLst>
        </c:ser>
        <c:ser>
          <c:idx val="1"/>
          <c:order val="1"/>
          <c:tx>
            <c:v>Profit (₹)</c:v>
          </c:tx>
          <c:spPr>
            <a:solidFill>
              <a:srgbClr val="70AD47"/>
            </a:solidFill>
            <a:ln w="9360">
              <a:solidFill>
                <a:srgbClr val="70AD47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ChartData!$I$2:$I$6</c:f>
              <c:strCache>
                <c:ptCount val="5"/>
                <c:pt idx="0">
                  <c:v>Software</c:v>
                </c:pt>
                <c:pt idx="1">
                  <c:v>Hardware</c:v>
                </c:pt>
                <c:pt idx="2">
                  <c:v>Services</c:v>
                </c:pt>
                <c:pt idx="3">
                  <c:v>Consulting</c:v>
                </c:pt>
                <c:pt idx="4">
                  <c:v>Subscriptions</c:v>
                </c:pt>
              </c:strCache>
            </c:strRef>
          </c:cat>
          <c:val>
            <c:numRef>
              <c:f>ChartData!$K$1:$K$6</c:f>
              <c:numCache>
                <c:formatCode>General</c:formatCode>
                <c:ptCount val="6"/>
                <c:pt idx="0">
                  <c:v>0</c:v>
                </c:pt>
                <c:pt idx="1">
                  <c:v>1305502.1499999999</c:v>
                </c:pt>
                <c:pt idx="2">
                  <c:v>633401.77</c:v>
                </c:pt>
                <c:pt idx="3">
                  <c:v>523636.35</c:v>
                </c:pt>
                <c:pt idx="4">
                  <c:v>822530.19</c:v>
                </c:pt>
                <c:pt idx="5">
                  <c:v>816160.36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E7-46D4-A8F5-DCCB9F7B0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546553"/>
        <c:axId val="85027185"/>
      </c:barChart>
      <c:catAx>
        <c:axId val="97546553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027185"/>
        <c:crosses val="autoZero"/>
        <c:auto val="1"/>
        <c:lblAlgn val="ctr"/>
        <c:lblOffset val="100"/>
        <c:noMultiLvlLbl val="0"/>
      </c:catAx>
      <c:valAx>
        <c:axId val="8502718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54655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v>Revenue by Segment</c:v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367E-45BD-9A5A-AF2049E27300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367E-45BD-9A5A-AF2049E27300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367E-45BD-9A5A-AF2049E27300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367E-45BD-9A5A-AF2049E27300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367E-45BD-9A5A-AF2049E27300}"/>
              </c:ext>
            </c:extLst>
          </c:dPt>
          <c:dLbls>
            <c:dLbl>
              <c:idx val="0"/>
              <c:layout>
                <c:manualLayout>
                  <c:x val="-0.41310277391796613"/>
                  <c:y val="1.1466424420219799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7E-45BD-9A5A-AF2049E2730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367E-45BD-9A5A-AF2049E2730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367E-45BD-9A5A-AF2049E27300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367E-45BD-9A5A-AF2049E27300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367E-45BD-9A5A-AF2049E273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ChartData!$M$2:$M$5</c:f>
              <c:strCache>
                <c:ptCount val="4"/>
                <c:pt idx="0">
                  <c:v>Enterprise</c:v>
                </c:pt>
                <c:pt idx="1">
                  <c:v>Government</c:v>
                </c:pt>
                <c:pt idx="2">
                  <c:v>SMB</c:v>
                </c:pt>
                <c:pt idx="3">
                  <c:v>Mid-Market</c:v>
                </c:pt>
              </c:strCache>
            </c:strRef>
          </c:cat>
          <c:val>
            <c:numRef>
              <c:f>ChartData!$N$1:$N$5</c:f>
              <c:numCache>
                <c:formatCode>General</c:formatCode>
                <c:ptCount val="5"/>
                <c:pt idx="0">
                  <c:v>0</c:v>
                </c:pt>
                <c:pt idx="1">
                  <c:v>2417683.61</c:v>
                </c:pt>
                <c:pt idx="2">
                  <c:v>2453458.2400000002</c:v>
                </c:pt>
                <c:pt idx="3">
                  <c:v>2301794.46</c:v>
                </c:pt>
                <c:pt idx="4">
                  <c:v>2109225.42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67E-45BD-9A5A-AF2049E27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Revenue (₹)</c:v>
          </c:tx>
          <c:spPr>
            <a:solidFill>
              <a:srgbClr val="C55A11"/>
            </a:solidFill>
            <a:ln w="9360">
              <a:solidFill>
                <a:srgbClr val="C55A11"/>
              </a:solidFill>
              <a:round/>
            </a:ln>
          </c:spPr>
          <c:invertIfNegative val="0"/>
          <c:dLbls>
            <c:dLbl>
              <c:idx val="4"/>
              <c:layout>
                <c:manualLayout>
                  <c:x val="-2.5804826112045775E-2"/>
                  <c:y val="1.788378717487876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4B2-4DE0-9BFD-E548DF7021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ChartData!$P$2:$P$5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ChartData!$Q$1:$Q$5</c:f>
              <c:numCache>
                <c:formatCode>General</c:formatCode>
                <c:ptCount val="5"/>
                <c:pt idx="0">
                  <c:v>0</c:v>
                </c:pt>
                <c:pt idx="1">
                  <c:v>1306843.3400000001</c:v>
                </c:pt>
                <c:pt idx="2">
                  <c:v>2775444.96</c:v>
                </c:pt>
                <c:pt idx="3">
                  <c:v>2054430.33</c:v>
                </c:pt>
                <c:pt idx="4">
                  <c:v>3145443.1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2-4DE0-9BFD-E548DF702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75787"/>
        <c:axId val="85744046"/>
      </c:barChart>
      <c:catAx>
        <c:axId val="28757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744046"/>
        <c:crosses val="autoZero"/>
        <c:auto val="1"/>
        <c:lblAlgn val="ctr"/>
        <c:lblOffset val="100"/>
        <c:noMultiLvlLbl val="0"/>
      </c:catAx>
      <c:valAx>
        <c:axId val="857440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7578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Revenue Variance %</c:v>
          </c:tx>
          <c:spPr>
            <a:solidFill>
              <a:srgbClr val="C00000"/>
            </a:solidFill>
            <a:ln w="9360">
              <a:solidFill>
                <a:srgbClr val="C0000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ChartData!$W$2:$W$32</c:f>
              <c:strCache>
                <c:ptCount val="30"/>
                <c:pt idx="0">
                  <c:v>ORD-1001</c:v>
                </c:pt>
                <c:pt idx="1">
                  <c:v>ORD-1002</c:v>
                </c:pt>
                <c:pt idx="2">
                  <c:v>ORD-1003</c:v>
                </c:pt>
                <c:pt idx="3">
                  <c:v>ORD-1004</c:v>
                </c:pt>
                <c:pt idx="4">
                  <c:v>ORD-1005</c:v>
                </c:pt>
                <c:pt idx="5">
                  <c:v>ORD-1006</c:v>
                </c:pt>
                <c:pt idx="6">
                  <c:v>ORD-1007</c:v>
                </c:pt>
                <c:pt idx="7">
                  <c:v>ORD-1008</c:v>
                </c:pt>
                <c:pt idx="8">
                  <c:v>ORD-1009</c:v>
                </c:pt>
                <c:pt idx="9">
                  <c:v>ORD-1010</c:v>
                </c:pt>
                <c:pt idx="10">
                  <c:v>ORD-1011</c:v>
                </c:pt>
                <c:pt idx="11">
                  <c:v>ORD-1012</c:v>
                </c:pt>
                <c:pt idx="12">
                  <c:v>ORD-1013</c:v>
                </c:pt>
                <c:pt idx="13">
                  <c:v>ORD-1014</c:v>
                </c:pt>
                <c:pt idx="14">
                  <c:v>ORD-1015</c:v>
                </c:pt>
                <c:pt idx="15">
                  <c:v>ORD-1016</c:v>
                </c:pt>
                <c:pt idx="16">
                  <c:v>ORD-1017</c:v>
                </c:pt>
                <c:pt idx="17">
                  <c:v>ORD-1018</c:v>
                </c:pt>
                <c:pt idx="18">
                  <c:v>ORD-1019</c:v>
                </c:pt>
                <c:pt idx="19">
                  <c:v>ORD-1020</c:v>
                </c:pt>
                <c:pt idx="20">
                  <c:v>ORD-1021</c:v>
                </c:pt>
                <c:pt idx="21">
                  <c:v>ORD-1022</c:v>
                </c:pt>
                <c:pt idx="22">
                  <c:v>ORD-1023</c:v>
                </c:pt>
                <c:pt idx="23">
                  <c:v>ORD-1024</c:v>
                </c:pt>
                <c:pt idx="24">
                  <c:v>ORD-1025</c:v>
                </c:pt>
                <c:pt idx="25">
                  <c:v>ORD-1026</c:v>
                </c:pt>
                <c:pt idx="26">
                  <c:v>ORD-1027</c:v>
                </c:pt>
                <c:pt idx="27">
                  <c:v>ORD-1028</c:v>
                </c:pt>
                <c:pt idx="28">
                  <c:v>ORD-1029</c:v>
                </c:pt>
                <c:pt idx="29">
                  <c:v>ORD-1030</c:v>
                </c:pt>
              </c:strCache>
            </c:strRef>
          </c:cat>
          <c:val>
            <c:numRef>
              <c:f>ChartData!$X$1:$X$32</c:f>
              <c:numCache>
                <c:formatCode>General</c:formatCode>
                <c:ptCount val="32"/>
                <c:pt idx="0">
                  <c:v>0</c:v>
                </c:pt>
                <c:pt idx="1">
                  <c:v>-5.36</c:v>
                </c:pt>
                <c:pt idx="2">
                  <c:v>17.329999999999998</c:v>
                </c:pt>
                <c:pt idx="3">
                  <c:v>-5.78</c:v>
                </c:pt>
                <c:pt idx="4">
                  <c:v>-8.81</c:v>
                </c:pt>
                <c:pt idx="5">
                  <c:v>8.3000000000000007</c:v>
                </c:pt>
                <c:pt idx="6">
                  <c:v>-8.2200000000000006</c:v>
                </c:pt>
                <c:pt idx="7">
                  <c:v>8.18</c:v>
                </c:pt>
                <c:pt idx="8">
                  <c:v>1.03</c:v>
                </c:pt>
                <c:pt idx="9">
                  <c:v>1.56</c:v>
                </c:pt>
                <c:pt idx="10">
                  <c:v>-0.22</c:v>
                </c:pt>
                <c:pt idx="11">
                  <c:v>6.85</c:v>
                </c:pt>
                <c:pt idx="12">
                  <c:v>-7.3</c:v>
                </c:pt>
                <c:pt idx="13">
                  <c:v>6.3</c:v>
                </c:pt>
                <c:pt idx="14">
                  <c:v>-5.93</c:v>
                </c:pt>
                <c:pt idx="15">
                  <c:v>9.07</c:v>
                </c:pt>
                <c:pt idx="16">
                  <c:v>3.57</c:v>
                </c:pt>
                <c:pt idx="17">
                  <c:v>3.61</c:v>
                </c:pt>
                <c:pt idx="18">
                  <c:v>-5.87</c:v>
                </c:pt>
                <c:pt idx="19">
                  <c:v>6.13</c:v>
                </c:pt>
                <c:pt idx="20">
                  <c:v>4.93</c:v>
                </c:pt>
                <c:pt idx="21">
                  <c:v>3.62</c:v>
                </c:pt>
                <c:pt idx="22">
                  <c:v>6.43</c:v>
                </c:pt>
                <c:pt idx="23">
                  <c:v>4.37</c:v>
                </c:pt>
                <c:pt idx="24">
                  <c:v>-3.4</c:v>
                </c:pt>
                <c:pt idx="25">
                  <c:v>-2.74</c:v>
                </c:pt>
                <c:pt idx="26">
                  <c:v>6.76</c:v>
                </c:pt>
                <c:pt idx="27">
                  <c:v>-3.62</c:v>
                </c:pt>
                <c:pt idx="28">
                  <c:v>4.3</c:v>
                </c:pt>
                <c:pt idx="29">
                  <c:v>2.96</c:v>
                </c:pt>
                <c:pt idx="30">
                  <c:v>7.05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9B-47CC-9D8F-D04F5FE2C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948559"/>
        <c:axId val="88246471"/>
      </c:barChart>
      <c:catAx>
        <c:axId val="5994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246471"/>
        <c:crosses val="autoZero"/>
        <c:auto val="1"/>
        <c:lblAlgn val="ctr"/>
        <c:lblOffset val="100"/>
        <c:noMultiLvlLbl val="0"/>
      </c:catAx>
      <c:valAx>
        <c:axId val="882464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Variance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94855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Revenue (₹)</c:v>
          </c:tx>
          <c:spPr>
            <a:solidFill>
              <a:srgbClr val="2E75B6"/>
            </a:solidFill>
            <a:ln w="9360">
              <a:solidFill>
                <a:srgbClr val="2E75B6"/>
              </a:solidFill>
              <a:round/>
            </a:ln>
          </c:spPr>
          <c:invertIfNegative val="0"/>
          <c:dLbls>
            <c:dLbl>
              <c:idx val="0"/>
              <c:layout>
                <c:manualLayout>
                  <c:x val="3.2959104758049029E-2"/>
                  <c:y val="-2.872539539828213E-2"/>
                </c:manualLayout>
              </c:layout>
              <c:dLblPos val="outEnd"/>
              <c:showLegendKey val="1"/>
              <c:showVal val="0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A29-45ED-A62E-1CCCF5485BC5}"/>
                </c:ext>
              </c:extLst>
            </c:dLbl>
            <c:dLbl>
              <c:idx val="1"/>
              <c:layout>
                <c:manualLayout>
                  <c:x val="4.943865713707354E-3"/>
                  <c:y val="-1.7953372123926333E-2"/>
                </c:manualLayout>
              </c:layout>
              <c:dLblPos val="outEnd"/>
              <c:showLegendKey val="1"/>
              <c:showVal val="0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A29-45ED-A62E-1CCCF5485B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chemeClr val="tx1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0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ChartData!$I$2:$I$6</c:f>
              <c:strCache>
                <c:ptCount val="5"/>
                <c:pt idx="0">
                  <c:v>Software</c:v>
                </c:pt>
                <c:pt idx="1">
                  <c:v>Hardware</c:v>
                </c:pt>
                <c:pt idx="2">
                  <c:v>Services</c:v>
                </c:pt>
                <c:pt idx="3">
                  <c:v>Consulting</c:v>
                </c:pt>
                <c:pt idx="4">
                  <c:v>Subscriptions</c:v>
                </c:pt>
              </c:strCache>
            </c:strRef>
          </c:cat>
          <c:val>
            <c:numRef>
              <c:f>ChartData!$J$1:$J$6</c:f>
              <c:numCache>
                <c:formatCode>General</c:formatCode>
                <c:ptCount val="6"/>
                <c:pt idx="0">
                  <c:v>0</c:v>
                </c:pt>
                <c:pt idx="1">
                  <c:v>2859099.87</c:v>
                </c:pt>
                <c:pt idx="2">
                  <c:v>1480793.58</c:v>
                </c:pt>
                <c:pt idx="3">
                  <c:v>1162690.06</c:v>
                </c:pt>
                <c:pt idx="4">
                  <c:v>1956582.85</c:v>
                </c:pt>
                <c:pt idx="5">
                  <c:v>1822995.37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29-45ED-A62E-1CCCF5485BC5}"/>
            </c:ext>
          </c:extLst>
        </c:ser>
        <c:ser>
          <c:idx val="1"/>
          <c:order val="1"/>
          <c:tx>
            <c:v>Profit (₹)</c:v>
          </c:tx>
          <c:spPr>
            <a:solidFill>
              <a:srgbClr val="70AD47"/>
            </a:solidFill>
            <a:ln w="9360">
              <a:solidFill>
                <a:srgbClr val="70AD47"/>
              </a:solidFill>
              <a:round/>
            </a:ln>
          </c:spPr>
          <c:invertIfNegative val="0"/>
          <c:dLbls>
            <c:dLbl>
              <c:idx val="0"/>
              <c:layout>
                <c:manualLayout>
                  <c:x val="-1.6479552379024529E-2"/>
                  <c:y val="-0.11131090716834326"/>
                </c:manualLayout>
              </c:layout>
              <c:dLblPos val="outEnd"/>
              <c:showLegendKey val="1"/>
              <c:showVal val="0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A29-45ED-A62E-1CCCF5485B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0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ChartData!$I$2:$I$6</c:f>
              <c:strCache>
                <c:ptCount val="5"/>
                <c:pt idx="0">
                  <c:v>Software</c:v>
                </c:pt>
                <c:pt idx="1">
                  <c:v>Hardware</c:v>
                </c:pt>
                <c:pt idx="2">
                  <c:v>Services</c:v>
                </c:pt>
                <c:pt idx="3">
                  <c:v>Consulting</c:v>
                </c:pt>
                <c:pt idx="4">
                  <c:v>Subscriptions</c:v>
                </c:pt>
              </c:strCache>
            </c:strRef>
          </c:cat>
          <c:val>
            <c:numRef>
              <c:f>ChartData!$K$1:$K$6</c:f>
              <c:numCache>
                <c:formatCode>General</c:formatCode>
                <c:ptCount val="6"/>
                <c:pt idx="0">
                  <c:v>0</c:v>
                </c:pt>
                <c:pt idx="1">
                  <c:v>1305502.1499999999</c:v>
                </c:pt>
                <c:pt idx="2">
                  <c:v>633401.77</c:v>
                </c:pt>
                <c:pt idx="3">
                  <c:v>523636.35</c:v>
                </c:pt>
                <c:pt idx="4">
                  <c:v>822530.19</c:v>
                </c:pt>
                <c:pt idx="5">
                  <c:v>816160.36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29-45ED-A62E-1CCCF5485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608944"/>
        <c:axId val="84996511"/>
      </c:barChart>
      <c:catAx>
        <c:axId val="8660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996511"/>
        <c:crosses val="autoZero"/>
        <c:auto val="1"/>
        <c:lblAlgn val="ctr"/>
        <c:lblOffset val="100"/>
        <c:noMultiLvlLbl val="0"/>
      </c:catAx>
      <c:valAx>
        <c:axId val="849965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60894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8</xdr:col>
      <xdr:colOff>669600</xdr:colOff>
      <xdr:row>27</xdr:row>
      <xdr:rowOff>113400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8</xdr:row>
      <xdr:rowOff>0</xdr:rowOff>
    </xdr:from>
    <xdr:to>
      <xdr:col>13</xdr:col>
      <xdr:colOff>99060</xdr:colOff>
      <xdr:row>27</xdr:row>
      <xdr:rowOff>113400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129540</xdr:colOff>
      <xdr:row>8</xdr:row>
      <xdr:rowOff>15240</xdr:rowOff>
    </xdr:from>
    <xdr:to>
      <xdr:col>18</xdr:col>
      <xdr:colOff>815340</xdr:colOff>
      <xdr:row>26</xdr:row>
      <xdr:rowOff>67680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0</xdr:colOff>
      <xdr:row>31</xdr:row>
      <xdr:rowOff>0</xdr:rowOff>
    </xdr:from>
    <xdr:to>
      <xdr:col>8</xdr:col>
      <xdr:colOff>669600</xdr:colOff>
      <xdr:row>49</xdr:row>
      <xdr:rowOff>170640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31</xdr:row>
      <xdr:rowOff>0</xdr:rowOff>
    </xdr:from>
    <xdr:to>
      <xdr:col>13</xdr:col>
      <xdr:colOff>15240</xdr:colOff>
      <xdr:row>49</xdr:row>
      <xdr:rowOff>170640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14</xdr:col>
      <xdr:colOff>0</xdr:colOff>
      <xdr:row>31</xdr:row>
      <xdr:rowOff>60960</xdr:rowOff>
    </xdr:from>
    <xdr:to>
      <xdr:col>20</xdr:col>
      <xdr:colOff>669600</xdr:colOff>
      <xdr:row>49</xdr:row>
      <xdr:rowOff>170640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</xdr:col>
      <xdr:colOff>0</xdr:colOff>
      <xdr:row>53</xdr:row>
      <xdr:rowOff>0</xdr:rowOff>
    </xdr:from>
    <xdr:to>
      <xdr:col>8</xdr:col>
      <xdr:colOff>669600</xdr:colOff>
      <xdr:row>73</xdr:row>
      <xdr:rowOff>161280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0</xdr:colOff>
      <xdr:row>53</xdr:row>
      <xdr:rowOff>0</xdr:rowOff>
    </xdr:from>
    <xdr:to>
      <xdr:col>20</xdr:col>
      <xdr:colOff>25560</xdr:colOff>
      <xdr:row>73</xdr:row>
      <xdr:rowOff>161280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B1:AB120"/>
  <sheetViews>
    <sheetView tabSelected="1" topLeftCell="E49" zoomScaleNormal="100" workbookViewId="0">
      <selection activeCell="X18" sqref="X18"/>
    </sheetView>
  </sheetViews>
  <sheetFormatPr defaultColWidth="8.6640625" defaultRowHeight="14.4" x14ac:dyDescent="0.3"/>
  <cols>
    <col min="1" max="2" width="2" customWidth="1"/>
    <col min="3" max="7" width="12" customWidth="1"/>
    <col min="8" max="8" width="2" customWidth="1"/>
    <col min="9" max="13" width="12" customWidth="1"/>
    <col min="14" max="14" width="2" customWidth="1"/>
    <col min="15" max="19" width="12" customWidth="1"/>
    <col min="20" max="20" width="2" customWidth="1"/>
    <col min="21" max="24" width="14" customWidth="1"/>
    <col min="25" max="25" width="2" customWidth="1"/>
    <col min="26" max="28" width="14" customWidth="1"/>
  </cols>
  <sheetData>
    <row r="1" spans="2:28" ht="7.5" customHeight="1" x14ac:dyDescent="0.3"/>
    <row r="2" spans="2:28" ht="39.75" customHeight="1" x14ac:dyDescent="0.3"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2:28" ht="7.5" customHeight="1" x14ac:dyDescent="0.3"/>
    <row r="4" spans="2:28" ht="15.75" customHeight="1" x14ac:dyDescent="0.3">
      <c r="C4" s="13" t="s">
        <v>1</v>
      </c>
      <c r="D4" s="13"/>
      <c r="E4" s="13"/>
      <c r="F4" s="13"/>
      <c r="G4" s="13"/>
      <c r="I4" s="12" t="s">
        <v>2</v>
      </c>
      <c r="J4" s="12"/>
      <c r="K4" s="12"/>
      <c r="L4" s="12"/>
      <c r="M4" s="12"/>
      <c r="O4" s="11" t="s">
        <v>3</v>
      </c>
      <c r="P4" s="11"/>
      <c r="Q4" s="11"/>
      <c r="R4" s="11"/>
      <c r="S4" s="11"/>
      <c r="U4" s="10" t="s">
        <v>4</v>
      </c>
      <c r="V4" s="10"/>
      <c r="W4" s="10"/>
      <c r="X4" s="10"/>
      <c r="Z4" s="9" t="s">
        <v>5</v>
      </c>
      <c r="AA4" s="9"/>
      <c r="AB4" s="9"/>
    </row>
    <row r="5" spans="2:28" ht="37.5" customHeight="1" x14ac:dyDescent="0.3">
      <c r="C5" s="8" t="s">
        <v>6</v>
      </c>
      <c r="D5" s="8"/>
      <c r="E5" s="8"/>
      <c r="F5" s="8"/>
      <c r="G5" s="8"/>
      <c r="I5" s="7" t="s">
        <v>7</v>
      </c>
      <c r="J5" s="7"/>
      <c r="K5" s="7"/>
      <c r="L5" s="7"/>
      <c r="M5" s="7"/>
      <c r="O5" s="6" t="s">
        <v>8</v>
      </c>
      <c r="P5" s="6"/>
      <c r="Q5" s="6"/>
      <c r="R5" s="6"/>
      <c r="S5" s="6"/>
      <c r="U5" s="5" t="s">
        <v>9</v>
      </c>
      <c r="V5" s="5"/>
      <c r="W5" s="5"/>
      <c r="X5" s="5"/>
      <c r="Z5" s="4" t="s">
        <v>10</v>
      </c>
      <c r="AA5" s="4"/>
      <c r="AB5" s="4"/>
    </row>
    <row r="6" spans="2:28" ht="19.5" customHeight="1" x14ac:dyDescent="0.3">
      <c r="C6" s="3" t="s">
        <v>11</v>
      </c>
      <c r="D6" s="3"/>
      <c r="E6" s="3"/>
      <c r="F6" s="3"/>
      <c r="G6" s="3"/>
      <c r="I6" s="2" t="s">
        <v>12</v>
      </c>
      <c r="J6" s="2"/>
      <c r="K6" s="2"/>
      <c r="L6" s="2"/>
      <c r="M6" s="2"/>
      <c r="O6" s="1" t="s">
        <v>13</v>
      </c>
      <c r="P6" s="1"/>
      <c r="Q6" s="1"/>
      <c r="R6" s="1"/>
      <c r="S6" s="1"/>
      <c r="U6" s="44" t="s">
        <v>14</v>
      </c>
      <c r="V6" s="44"/>
      <c r="W6" s="44"/>
      <c r="X6" s="44"/>
      <c r="Z6" s="45" t="s">
        <v>15</v>
      </c>
      <c r="AA6" s="45"/>
      <c r="AB6" s="45"/>
    </row>
    <row r="7" spans="2:28" ht="7.5" customHeight="1" x14ac:dyDescent="0.3"/>
    <row r="8" spans="2:28" ht="15.75" customHeight="1" x14ac:dyDescent="0.3">
      <c r="C8" s="46" t="s">
        <v>16</v>
      </c>
      <c r="D8" s="46"/>
      <c r="E8" s="46"/>
      <c r="F8" s="46"/>
      <c r="G8" s="46"/>
      <c r="I8" s="47" t="s">
        <v>17</v>
      </c>
      <c r="J8" s="47"/>
      <c r="K8" s="47"/>
      <c r="L8" s="47"/>
      <c r="M8" s="47"/>
      <c r="O8" s="46" t="s">
        <v>18</v>
      </c>
      <c r="P8" s="46"/>
      <c r="Q8" s="46"/>
      <c r="R8" s="46"/>
      <c r="S8" s="46"/>
    </row>
    <row r="9" spans="2:28" ht="15" customHeight="1" x14ac:dyDescent="0.3"/>
    <row r="10" spans="2:28" ht="15" customHeight="1" x14ac:dyDescent="0.3"/>
    <row r="11" spans="2:28" ht="15" customHeight="1" x14ac:dyDescent="0.3"/>
    <row r="12" spans="2:28" ht="15" customHeight="1" x14ac:dyDescent="0.3"/>
    <row r="13" spans="2:28" ht="15" customHeight="1" x14ac:dyDescent="0.3"/>
    <row r="14" spans="2:28" ht="15" customHeight="1" x14ac:dyDescent="0.3"/>
    <row r="15" spans="2:28" ht="13.5" customHeight="1" x14ac:dyDescent="0.3">
      <c r="U15" s="65" t="s">
        <v>19</v>
      </c>
      <c r="V15" s="65"/>
      <c r="W15" s="65"/>
      <c r="X15" s="66"/>
    </row>
    <row r="16" spans="2:28" ht="13.5" customHeight="1" x14ac:dyDescent="0.3">
      <c r="U16" s="15" t="s">
        <v>20</v>
      </c>
      <c r="V16" s="15" t="s">
        <v>21</v>
      </c>
      <c r="W16" s="15" t="s">
        <v>22</v>
      </c>
    </row>
    <row r="17" spans="3:23" ht="13.5" customHeight="1" x14ac:dyDescent="0.3">
      <c r="U17" s="16" t="s">
        <v>23</v>
      </c>
      <c r="V17" s="16" t="s">
        <v>24</v>
      </c>
      <c r="W17" s="16" t="s">
        <v>25</v>
      </c>
    </row>
    <row r="18" spans="3:23" ht="13.5" customHeight="1" x14ac:dyDescent="0.3">
      <c r="U18" s="17" t="s">
        <v>26</v>
      </c>
      <c r="V18" s="17" t="s">
        <v>27</v>
      </c>
      <c r="W18" s="17" t="s">
        <v>28</v>
      </c>
    </row>
    <row r="19" spans="3:23" ht="13.5" customHeight="1" x14ac:dyDescent="0.3">
      <c r="U19" s="17" t="s">
        <v>29</v>
      </c>
      <c r="V19" s="17" t="s">
        <v>30</v>
      </c>
      <c r="W19" s="17" t="s">
        <v>31</v>
      </c>
    </row>
    <row r="20" spans="3:23" ht="13.5" customHeight="1" x14ac:dyDescent="0.3">
      <c r="U20" s="17" t="s">
        <v>32</v>
      </c>
      <c r="V20" s="17" t="s">
        <v>33</v>
      </c>
      <c r="W20" s="17" t="s">
        <v>34</v>
      </c>
    </row>
    <row r="21" spans="3:23" ht="13.5" customHeight="1" x14ac:dyDescent="0.3">
      <c r="U21" s="17" t="s">
        <v>35</v>
      </c>
      <c r="V21" s="17" t="s">
        <v>36</v>
      </c>
      <c r="W21" s="17" t="s">
        <v>37</v>
      </c>
    </row>
    <row r="22" spans="3:23" ht="15" customHeight="1" x14ac:dyDescent="0.3"/>
    <row r="23" spans="3:23" ht="15" customHeight="1" x14ac:dyDescent="0.3"/>
    <row r="24" spans="3:23" ht="15" customHeight="1" x14ac:dyDescent="0.3"/>
    <row r="25" spans="3:23" ht="15" customHeight="1" x14ac:dyDescent="0.3"/>
    <row r="26" spans="3:23" ht="15" customHeight="1" x14ac:dyDescent="0.3"/>
    <row r="27" spans="3:23" ht="15" customHeight="1" x14ac:dyDescent="0.3"/>
    <row r="28" spans="3:23" ht="15" customHeight="1" x14ac:dyDescent="0.3"/>
    <row r="29" spans="3:23" ht="15" customHeight="1" x14ac:dyDescent="0.3"/>
    <row r="30" spans="3:23" ht="7.5" customHeight="1" x14ac:dyDescent="0.3"/>
    <row r="31" spans="3:23" ht="15.75" customHeight="1" x14ac:dyDescent="0.3">
      <c r="C31" s="48" t="s">
        <v>38</v>
      </c>
      <c r="D31" s="48"/>
      <c r="E31" s="48"/>
      <c r="F31" s="48"/>
      <c r="G31" s="48"/>
      <c r="I31" s="49" t="s">
        <v>39</v>
      </c>
      <c r="J31" s="49"/>
      <c r="K31" s="49"/>
      <c r="L31" s="49"/>
      <c r="M31" s="49"/>
      <c r="O31" s="50" t="s">
        <v>40</v>
      </c>
      <c r="P31" s="50"/>
      <c r="Q31" s="50"/>
      <c r="R31" s="50"/>
      <c r="S31" s="50"/>
    </row>
    <row r="32" spans="3:23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spans="3:19" ht="15" customHeight="1" x14ac:dyDescent="0.3"/>
    <row r="50" spans="3:19" ht="15" customHeight="1" x14ac:dyDescent="0.3"/>
    <row r="51" spans="3:19" ht="15" customHeight="1" x14ac:dyDescent="0.3"/>
    <row r="52" spans="3:19" ht="7.5" customHeight="1" x14ac:dyDescent="0.3"/>
    <row r="53" spans="3:19" ht="15.75" customHeight="1" x14ac:dyDescent="0.3">
      <c r="C53" s="47" t="s">
        <v>41</v>
      </c>
      <c r="D53" s="47"/>
      <c r="E53" s="47"/>
      <c r="F53" s="47"/>
      <c r="G53" s="47"/>
      <c r="H53" s="47"/>
      <c r="J53" s="48" t="s">
        <v>42</v>
      </c>
      <c r="K53" s="48"/>
      <c r="L53" s="48"/>
      <c r="M53" s="48"/>
      <c r="N53" s="48"/>
      <c r="O53" s="48"/>
      <c r="P53" s="48"/>
      <c r="Q53" s="48"/>
      <c r="R53" s="48"/>
      <c r="S53" s="48"/>
    </row>
    <row r="54" spans="3:19" ht="15" customHeight="1" x14ac:dyDescent="0.3">
      <c r="C54" s="18" t="s">
        <v>43</v>
      </c>
      <c r="D54" s="18" t="s">
        <v>44</v>
      </c>
      <c r="E54" s="18" t="s">
        <v>45</v>
      </c>
    </row>
    <row r="55" spans="3:19" ht="13.5" customHeight="1" x14ac:dyDescent="0.3">
      <c r="C55" s="19" t="s">
        <v>46</v>
      </c>
      <c r="D55" s="19" t="s">
        <v>47</v>
      </c>
      <c r="E55" s="19" t="s">
        <v>48</v>
      </c>
    </row>
    <row r="56" spans="3:19" ht="13.5" customHeight="1" x14ac:dyDescent="0.3">
      <c r="C56" s="20" t="s">
        <v>49</v>
      </c>
      <c r="D56" s="20" t="s">
        <v>50</v>
      </c>
      <c r="E56" s="20" t="s">
        <v>51</v>
      </c>
    </row>
    <row r="57" spans="3:19" ht="13.5" customHeight="1" x14ac:dyDescent="0.3">
      <c r="C57" s="19" t="s">
        <v>52</v>
      </c>
      <c r="D57" s="19" t="s">
        <v>53</v>
      </c>
      <c r="E57" s="19" t="s">
        <v>48</v>
      </c>
    </row>
    <row r="58" spans="3:19" ht="13.5" customHeight="1" x14ac:dyDescent="0.3">
      <c r="C58" s="19" t="s">
        <v>54</v>
      </c>
      <c r="D58" s="19" t="s">
        <v>55</v>
      </c>
      <c r="E58" s="19" t="s">
        <v>48</v>
      </c>
    </row>
    <row r="59" spans="3:19" ht="13.5" customHeight="1" x14ac:dyDescent="0.3">
      <c r="C59" s="20" t="s">
        <v>56</v>
      </c>
      <c r="D59" s="20" t="s">
        <v>57</v>
      </c>
      <c r="E59" s="20" t="s">
        <v>51</v>
      </c>
    </row>
    <row r="60" spans="3:19" ht="13.5" customHeight="1" x14ac:dyDescent="0.3">
      <c r="C60" s="19" t="s">
        <v>58</v>
      </c>
      <c r="D60" s="19" t="s">
        <v>59</v>
      </c>
      <c r="E60" s="19" t="s">
        <v>48</v>
      </c>
    </row>
    <row r="61" spans="3:19" ht="13.5" customHeight="1" x14ac:dyDescent="0.3">
      <c r="C61" s="20" t="s">
        <v>60</v>
      </c>
      <c r="D61" s="20" t="s">
        <v>61</v>
      </c>
      <c r="E61" s="20" t="s">
        <v>51</v>
      </c>
    </row>
    <row r="62" spans="3:19" ht="13.5" customHeight="1" x14ac:dyDescent="0.3">
      <c r="C62" s="20" t="s">
        <v>62</v>
      </c>
      <c r="D62" s="20" t="s">
        <v>63</v>
      </c>
      <c r="E62" s="20" t="s">
        <v>64</v>
      </c>
    </row>
    <row r="63" spans="3:19" ht="13.5" customHeight="1" x14ac:dyDescent="0.3">
      <c r="C63" s="20" t="s">
        <v>65</v>
      </c>
      <c r="D63" s="20" t="s">
        <v>66</v>
      </c>
      <c r="E63" s="20" t="s">
        <v>64</v>
      </c>
    </row>
    <row r="64" spans="3:19" ht="13.5" customHeight="1" x14ac:dyDescent="0.3">
      <c r="C64" s="19" t="s">
        <v>67</v>
      </c>
      <c r="D64" s="19" t="s">
        <v>68</v>
      </c>
      <c r="E64" s="19" t="s">
        <v>64</v>
      </c>
    </row>
    <row r="65" spans="3:19" ht="13.5" customHeight="1" x14ac:dyDescent="0.3">
      <c r="C65" s="20" t="s">
        <v>69</v>
      </c>
      <c r="D65" s="20" t="s">
        <v>70</v>
      </c>
      <c r="E65" s="20" t="s">
        <v>51</v>
      </c>
    </row>
    <row r="66" spans="3:19" ht="13.5" customHeight="1" x14ac:dyDescent="0.3">
      <c r="C66" s="19" t="s">
        <v>71</v>
      </c>
      <c r="D66" s="19" t="s">
        <v>72</v>
      </c>
      <c r="E66" s="19" t="s">
        <v>48</v>
      </c>
    </row>
    <row r="67" spans="3:19" ht="13.5" customHeight="1" x14ac:dyDescent="0.3">
      <c r="C67" s="20" t="s">
        <v>73</v>
      </c>
      <c r="D67" s="20" t="s">
        <v>74</v>
      </c>
      <c r="E67" s="20" t="s">
        <v>51</v>
      </c>
    </row>
    <row r="68" spans="3:19" ht="13.5" customHeight="1" x14ac:dyDescent="0.3">
      <c r="C68" s="19" t="s">
        <v>75</v>
      </c>
      <c r="D68" s="19" t="s">
        <v>76</v>
      </c>
      <c r="E68" s="19" t="s">
        <v>48</v>
      </c>
    </row>
    <row r="69" spans="3:19" ht="13.5" customHeight="1" x14ac:dyDescent="0.3">
      <c r="C69" s="20" t="s">
        <v>77</v>
      </c>
      <c r="D69" s="20" t="s">
        <v>78</v>
      </c>
      <c r="E69" s="20" t="s">
        <v>51</v>
      </c>
    </row>
    <row r="70" spans="3:19" ht="15" customHeight="1" x14ac:dyDescent="0.3"/>
    <row r="71" spans="3:19" ht="15" customHeight="1" x14ac:dyDescent="0.3"/>
    <row r="72" spans="3:19" ht="7.5" customHeight="1" x14ac:dyDescent="0.3"/>
    <row r="73" spans="3:19" ht="15.75" customHeight="1" x14ac:dyDescent="0.3">
      <c r="C73" s="54" t="s">
        <v>79</v>
      </c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</row>
    <row r="74" spans="3:19" ht="13.5" customHeight="1" x14ac:dyDescent="0.3">
      <c r="C74" s="55" t="s">
        <v>80</v>
      </c>
      <c r="D74" s="55"/>
      <c r="E74" s="55"/>
      <c r="F74" s="55"/>
      <c r="G74" s="56" t="s">
        <v>81</v>
      </c>
      <c r="H74" s="56"/>
      <c r="I74" s="56"/>
      <c r="J74" s="57" t="s">
        <v>82</v>
      </c>
      <c r="K74" s="57"/>
      <c r="L74" s="57"/>
      <c r="M74" s="57"/>
      <c r="N74" s="58" t="s">
        <v>83</v>
      </c>
      <c r="O74" s="58"/>
      <c r="P74" s="58"/>
      <c r="Q74" s="59" t="s">
        <v>84</v>
      </c>
      <c r="R74" s="59"/>
      <c r="S74" s="59"/>
    </row>
    <row r="75" spans="3:19" ht="13.5" customHeight="1" x14ac:dyDescent="0.3">
      <c r="C75" s="60"/>
      <c r="D75" s="60"/>
      <c r="E75" s="60"/>
      <c r="F75" s="60"/>
      <c r="G75" s="61"/>
      <c r="H75" s="61"/>
      <c r="I75" s="61"/>
      <c r="J75" s="62"/>
      <c r="K75" s="62"/>
      <c r="L75" s="62"/>
      <c r="M75" s="62"/>
      <c r="N75" s="63"/>
      <c r="O75" s="63"/>
      <c r="P75" s="63"/>
      <c r="Q75" s="64"/>
      <c r="R75" s="64"/>
      <c r="S75" s="64"/>
    </row>
    <row r="76" spans="3:19" ht="45" customHeight="1" x14ac:dyDescent="0.3">
      <c r="C76" s="51" t="s">
        <v>85</v>
      </c>
      <c r="D76" s="51"/>
      <c r="E76" s="51"/>
      <c r="F76" s="51"/>
      <c r="G76" s="51" t="s">
        <v>86</v>
      </c>
      <c r="H76" s="51"/>
      <c r="I76" s="51"/>
      <c r="J76" s="51" t="s">
        <v>87</v>
      </c>
      <c r="K76" s="51"/>
      <c r="L76" s="51"/>
      <c r="M76" s="51"/>
      <c r="N76" s="51" t="s">
        <v>88</v>
      </c>
      <c r="O76" s="51"/>
      <c r="P76" s="51"/>
      <c r="Q76" s="51" t="s">
        <v>89</v>
      </c>
      <c r="R76" s="51"/>
      <c r="S76" s="51"/>
    </row>
    <row r="77" spans="3:19" ht="18" customHeight="1" x14ac:dyDescent="0.3"/>
    <row r="78" spans="3:19" ht="12" customHeight="1" x14ac:dyDescent="0.3">
      <c r="C78" s="52" t="s">
        <v>90</v>
      </c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</row>
    <row r="79" spans="3:19" ht="18" customHeight="1" x14ac:dyDescent="0.3"/>
    <row r="80" spans="3:19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  <row r="93" ht="18" customHeight="1" x14ac:dyDescent="0.3"/>
    <row r="94" ht="18" customHeight="1" x14ac:dyDescent="0.3"/>
    <row r="95" ht="18" customHeight="1" x14ac:dyDescent="0.3"/>
    <row r="96" ht="18" customHeight="1" x14ac:dyDescent="0.3"/>
    <row r="97" ht="18" customHeight="1" x14ac:dyDescent="0.3"/>
    <row r="98" ht="18" customHeight="1" x14ac:dyDescent="0.3"/>
    <row r="99" ht="18" customHeight="1" x14ac:dyDescent="0.3"/>
    <row r="100" ht="18" customHeight="1" x14ac:dyDescent="0.3"/>
    <row r="101" ht="18" customHeight="1" x14ac:dyDescent="0.3"/>
    <row r="102" ht="18" customHeight="1" x14ac:dyDescent="0.3"/>
    <row r="103" ht="18" customHeight="1" x14ac:dyDescent="0.3"/>
    <row r="104" ht="18" customHeight="1" x14ac:dyDescent="0.3"/>
    <row r="105" ht="18" customHeight="1" x14ac:dyDescent="0.3"/>
    <row r="106" ht="18" customHeight="1" x14ac:dyDescent="0.3"/>
    <row r="107" ht="18" customHeight="1" x14ac:dyDescent="0.3"/>
    <row r="108" ht="18" customHeight="1" x14ac:dyDescent="0.3"/>
    <row r="109" ht="18" customHeight="1" x14ac:dyDescent="0.3"/>
    <row r="110" ht="18" customHeight="1" x14ac:dyDescent="0.3"/>
    <row r="111" ht="18" customHeight="1" x14ac:dyDescent="0.3"/>
    <row r="112" ht="18" customHeight="1" x14ac:dyDescent="0.3"/>
    <row r="113" ht="18" customHeight="1" x14ac:dyDescent="0.3"/>
    <row r="114" ht="18" customHeight="1" x14ac:dyDescent="0.3"/>
    <row r="115" ht="18" customHeight="1" x14ac:dyDescent="0.3"/>
    <row r="116" ht="18" customHeight="1" x14ac:dyDescent="0.3"/>
    <row r="117" ht="18" customHeight="1" x14ac:dyDescent="0.3"/>
    <row r="118" ht="18" customHeight="1" x14ac:dyDescent="0.3"/>
    <row r="119" ht="18" customHeight="1" x14ac:dyDescent="0.3"/>
    <row r="120" ht="18" customHeight="1" x14ac:dyDescent="0.3"/>
  </sheetData>
  <mergeCells count="37">
    <mergeCell ref="C78:S78"/>
    <mergeCell ref="U15:W15"/>
    <mergeCell ref="C76:F76"/>
    <mergeCell ref="G76:I76"/>
    <mergeCell ref="J76:M76"/>
    <mergeCell ref="N76:P76"/>
    <mergeCell ref="Q76:S76"/>
    <mergeCell ref="C53:H53"/>
    <mergeCell ref="J53:S53"/>
    <mergeCell ref="C73:S73"/>
    <mergeCell ref="C74:F74"/>
    <mergeCell ref="G74:I74"/>
    <mergeCell ref="J74:M74"/>
    <mergeCell ref="N74:P74"/>
    <mergeCell ref="Q74:S74"/>
    <mergeCell ref="C8:G8"/>
    <mergeCell ref="I8:M8"/>
    <mergeCell ref="O8:S8"/>
    <mergeCell ref="C31:G31"/>
    <mergeCell ref="I31:M31"/>
    <mergeCell ref="O31:S31"/>
    <mergeCell ref="C6:G6"/>
    <mergeCell ref="I6:M6"/>
    <mergeCell ref="O6:S6"/>
    <mergeCell ref="U6:X6"/>
    <mergeCell ref="Z6:AB6"/>
    <mergeCell ref="C5:G5"/>
    <mergeCell ref="I5:M5"/>
    <mergeCell ref="O5:S5"/>
    <mergeCell ref="U5:X5"/>
    <mergeCell ref="Z5:AB5"/>
    <mergeCell ref="B2:AB2"/>
    <mergeCell ref="C4:G4"/>
    <mergeCell ref="I4:M4"/>
    <mergeCell ref="O4:S4"/>
    <mergeCell ref="U4:X4"/>
    <mergeCell ref="Z4:AB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1"/>
  <sheetViews>
    <sheetView zoomScaleNormal="100" workbookViewId="0"/>
  </sheetViews>
  <sheetFormatPr defaultColWidth="8.6640625" defaultRowHeight="14.4" x14ac:dyDescent="0.3"/>
  <sheetData>
    <row r="1" spans="1:24" x14ac:dyDescent="0.3">
      <c r="A1" t="s">
        <v>91</v>
      </c>
      <c r="B1" t="s">
        <v>92</v>
      </c>
      <c r="C1" t="s">
        <v>93</v>
      </c>
      <c r="E1" t="s">
        <v>20</v>
      </c>
      <c r="F1" t="s">
        <v>92</v>
      </c>
      <c r="G1" t="s">
        <v>94</v>
      </c>
      <c r="I1" t="s">
        <v>95</v>
      </c>
      <c r="J1" t="s">
        <v>92</v>
      </c>
      <c r="K1" t="s">
        <v>93</v>
      </c>
      <c r="M1" t="s">
        <v>96</v>
      </c>
      <c r="N1" t="s">
        <v>92</v>
      </c>
      <c r="P1" t="s">
        <v>97</v>
      </c>
      <c r="Q1" t="s">
        <v>92</v>
      </c>
      <c r="S1" t="s">
        <v>98</v>
      </c>
      <c r="T1" t="s">
        <v>99</v>
      </c>
      <c r="U1" t="s">
        <v>100</v>
      </c>
      <c r="W1" t="s">
        <v>98</v>
      </c>
      <c r="X1" t="s">
        <v>101</v>
      </c>
    </row>
    <row r="2" spans="1:24" x14ac:dyDescent="0.3">
      <c r="A2" t="s">
        <v>102</v>
      </c>
      <c r="B2">
        <v>26987.4</v>
      </c>
      <c r="C2">
        <v>13542.97</v>
      </c>
      <c r="E2" t="s">
        <v>23</v>
      </c>
      <c r="F2">
        <v>1652868.49</v>
      </c>
      <c r="G2">
        <v>96.88</v>
      </c>
      <c r="I2" t="s">
        <v>103</v>
      </c>
      <c r="J2">
        <v>2859099.87</v>
      </c>
      <c r="K2">
        <v>1305502.1499999999</v>
      </c>
      <c r="M2" t="s">
        <v>104</v>
      </c>
      <c r="N2">
        <v>2417683.61</v>
      </c>
      <c r="P2" t="s">
        <v>105</v>
      </c>
      <c r="Q2">
        <v>1306843.3400000001</v>
      </c>
      <c r="S2" t="s">
        <v>46</v>
      </c>
      <c r="T2">
        <v>35097.42</v>
      </c>
      <c r="U2">
        <v>33215.040000000001</v>
      </c>
      <c r="W2" t="s">
        <v>46</v>
      </c>
      <c r="X2">
        <v>-5.36</v>
      </c>
    </row>
    <row r="3" spans="1:24" x14ac:dyDescent="0.3">
      <c r="A3" t="s">
        <v>106</v>
      </c>
      <c r="B3">
        <v>329900.74</v>
      </c>
      <c r="C3">
        <v>154365.71</v>
      </c>
      <c r="E3" t="s">
        <v>26</v>
      </c>
      <c r="F3">
        <v>2868169.35</v>
      </c>
      <c r="G3">
        <v>92.31</v>
      </c>
      <c r="I3" t="s">
        <v>107</v>
      </c>
      <c r="J3">
        <v>1480793.58</v>
      </c>
      <c r="K3">
        <v>633401.77</v>
      </c>
      <c r="M3" t="s">
        <v>108</v>
      </c>
      <c r="N3">
        <v>2453458.2400000002</v>
      </c>
      <c r="P3" t="s">
        <v>109</v>
      </c>
      <c r="Q3">
        <v>2775444.96</v>
      </c>
      <c r="S3" t="s">
        <v>49</v>
      </c>
      <c r="T3">
        <v>28950.89</v>
      </c>
      <c r="U3">
        <v>33968.97</v>
      </c>
      <c r="W3" t="s">
        <v>49</v>
      </c>
      <c r="X3">
        <v>17.329999999999998</v>
      </c>
    </row>
    <row r="4" spans="1:24" x14ac:dyDescent="0.3">
      <c r="A4" t="s">
        <v>110</v>
      </c>
      <c r="B4">
        <v>566393.79</v>
      </c>
      <c r="C4">
        <v>260493.36</v>
      </c>
      <c r="E4" t="s">
        <v>29</v>
      </c>
      <c r="F4">
        <v>1908239.4</v>
      </c>
      <c r="G4">
        <v>93.99</v>
      </c>
      <c r="I4" t="s">
        <v>111</v>
      </c>
      <c r="J4">
        <v>1162690.06</v>
      </c>
      <c r="K4">
        <v>523636.35</v>
      </c>
      <c r="M4" t="s">
        <v>112</v>
      </c>
      <c r="N4">
        <v>2301794.46</v>
      </c>
      <c r="P4" t="s">
        <v>113</v>
      </c>
      <c r="Q4">
        <v>2054430.33</v>
      </c>
      <c r="S4" t="s">
        <v>52</v>
      </c>
      <c r="T4">
        <v>4793.13</v>
      </c>
      <c r="U4">
        <v>4516.26</v>
      </c>
      <c r="W4" t="s">
        <v>52</v>
      </c>
      <c r="X4">
        <v>-5.78</v>
      </c>
    </row>
    <row r="5" spans="1:24" x14ac:dyDescent="0.3">
      <c r="A5" t="s">
        <v>114</v>
      </c>
      <c r="B5">
        <v>650378.98</v>
      </c>
      <c r="C5">
        <v>301307.90000000002</v>
      </c>
      <c r="E5" t="s">
        <v>32</v>
      </c>
      <c r="F5">
        <v>1610589.78</v>
      </c>
      <c r="G5">
        <v>92.08</v>
      </c>
      <c r="I5" t="s">
        <v>115</v>
      </c>
      <c r="J5">
        <v>1956582.85</v>
      </c>
      <c r="K5">
        <v>822530.19</v>
      </c>
      <c r="M5" t="s">
        <v>116</v>
      </c>
      <c r="N5">
        <v>2109225.42</v>
      </c>
      <c r="P5" t="s">
        <v>117</v>
      </c>
      <c r="Q5">
        <v>3145443.1</v>
      </c>
      <c r="S5" t="s">
        <v>54</v>
      </c>
      <c r="T5">
        <v>142475.21</v>
      </c>
      <c r="U5">
        <v>129924.49</v>
      </c>
      <c r="W5" t="s">
        <v>54</v>
      </c>
      <c r="X5">
        <v>-8.81</v>
      </c>
    </row>
    <row r="6" spans="1:24" x14ac:dyDescent="0.3">
      <c r="A6" t="s">
        <v>118</v>
      </c>
      <c r="B6">
        <v>510113.95</v>
      </c>
      <c r="C6">
        <v>248721.85</v>
      </c>
      <c r="E6" t="s">
        <v>35</v>
      </c>
      <c r="F6">
        <v>1242294.71</v>
      </c>
      <c r="G6">
        <v>93.54</v>
      </c>
      <c r="I6" t="s">
        <v>119</v>
      </c>
      <c r="J6">
        <v>1822995.37</v>
      </c>
      <c r="K6">
        <v>816160.36</v>
      </c>
      <c r="S6" t="s">
        <v>56</v>
      </c>
      <c r="T6">
        <v>90060.160000000003</v>
      </c>
      <c r="U6">
        <v>97538.7</v>
      </c>
      <c r="W6" t="s">
        <v>56</v>
      </c>
      <c r="X6">
        <v>8.3000000000000007</v>
      </c>
    </row>
    <row r="7" spans="1:24" x14ac:dyDescent="0.3">
      <c r="A7" t="s">
        <v>120</v>
      </c>
      <c r="B7">
        <v>534841.11</v>
      </c>
      <c r="C7">
        <v>239114.32</v>
      </c>
      <c r="S7" t="s">
        <v>58</v>
      </c>
      <c r="T7">
        <v>97079.01</v>
      </c>
      <c r="U7">
        <v>89094.78</v>
      </c>
      <c r="W7" t="s">
        <v>58</v>
      </c>
      <c r="X7">
        <v>-8.2200000000000006</v>
      </c>
    </row>
    <row r="8" spans="1:24" x14ac:dyDescent="0.3">
      <c r="A8" t="s">
        <v>121</v>
      </c>
      <c r="B8">
        <v>0</v>
      </c>
      <c r="C8">
        <v>0</v>
      </c>
      <c r="S8" t="s">
        <v>60</v>
      </c>
      <c r="T8">
        <v>59313.24</v>
      </c>
      <c r="U8">
        <v>64162.7</v>
      </c>
      <c r="W8" t="s">
        <v>60</v>
      </c>
      <c r="X8">
        <v>8.18</v>
      </c>
    </row>
    <row r="9" spans="1:24" x14ac:dyDescent="0.3">
      <c r="A9" t="s">
        <v>122</v>
      </c>
      <c r="B9">
        <v>610593.84</v>
      </c>
      <c r="C9">
        <v>309674.64</v>
      </c>
      <c r="S9" t="s">
        <v>62</v>
      </c>
      <c r="T9">
        <v>50618.46</v>
      </c>
      <c r="U9">
        <v>51140.6</v>
      </c>
      <c r="W9" t="s">
        <v>62</v>
      </c>
      <c r="X9">
        <v>1.03</v>
      </c>
    </row>
    <row r="10" spans="1:24" x14ac:dyDescent="0.3">
      <c r="A10" t="s">
        <v>123</v>
      </c>
      <c r="B10">
        <v>414982.36</v>
      </c>
      <c r="C10">
        <v>179528.79</v>
      </c>
      <c r="S10" t="s">
        <v>65</v>
      </c>
      <c r="T10">
        <v>39075.89</v>
      </c>
      <c r="U10">
        <v>39684.31</v>
      </c>
      <c r="W10" t="s">
        <v>65</v>
      </c>
      <c r="X10">
        <v>1.56</v>
      </c>
    </row>
    <row r="11" spans="1:24" x14ac:dyDescent="0.3">
      <c r="A11" t="s">
        <v>124</v>
      </c>
      <c r="B11">
        <v>254843.51</v>
      </c>
      <c r="C11">
        <v>118406.27</v>
      </c>
      <c r="S11" t="s">
        <v>67</v>
      </c>
      <c r="T11">
        <v>72714.53</v>
      </c>
      <c r="U11">
        <v>72557.240000000005</v>
      </c>
      <c r="W11" t="s">
        <v>67</v>
      </c>
      <c r="X11">
        <v>-0.22</v>
      </c>
    </row>
    <row r="12" spans="1:24" x14ac:dyDescent="0.3">
      <c r="A12" t="s">
        <v>125</v>
      </c>
      <c r="B12">
        <v>24236.16</v>
      </c>
      <c r="C12">
        <v>12191.76</v>
      </c>
      <c r="S12" t="s">
        <v>69</v>
      </c>
      <c r="T12">
        <v>61234.559999999998</v>
      </c>
      <c r="U12">
        <v>65432.1</v>
      </c>
      <c r="W12" t="s">
        <v>69</v>
      </c>
      <c r="X12">
        <v>6.85</v>
      </c>
    </row>
    <row r="13" spans="1:24" x14ac:dyDescent="0.3">
      <c r="A13" t="s">
        <v>126</v>
      </c>
      <c r="B13">
        <v>554681.86</v>
      </c>
      <c r="C13">
        <v>247964.67</v>
      </c>
      <c r="S13" t="s">
        <v>71</v>
      </c>
      <c r="T13">
        <v>45678.9</v>
      </c>
      <c r="U13">
        <v>42345.67</v>
      </c>
      <c r="W13" t="s">
        <v>71</v>
      </c>
      <c r="X13">
        <v>-7.3</v>
      </c>
    </row>
    <row r="14" spans="1:24" x14ac:dyDescent="0.3">
      <c r="A14" t="s">
        <v>127</v>
      </c>
      <c r="B14">
        <v>367676.59</v>
      </c>
      <c r="C14">
        <v>167709.46</v>
      </c>
      <c r="S14" t="s">
        <v>73</v>
      </c>
      <c r="T14">
        <v>123456.78</v>
      </c>
      <c r="U14">
        <v>131234.56</v>
      </c>
      <c r="W14" t="s">
        <v>73</v>
      </c>
      <c r="X14">
        <v>6.3</v>
      </c>
    </row>
    <row r="15" spans="1:24" x14ac:dyDescent="0.3">
      <c r="A15" t="s">
        <v>128</v>
      </c>
      <c r="B15">
        <v>15884.82</v>
      </c>
      <c r="C15">
        <v>6282.29</v>
      </c>
      <c r="S15" t="s">
        <v>75</v>
      </c>
      <c r="T15">
        <v>87654.32</v>
      </c>
      <c r="U15">
        <v>82456.78</v>
      </c>
      <c r="W15" t="s">
        <v>75</v>
      </c>
      <c r="X15">
        <v>-5.93</v>
      </c>
    </row>
    <row r="16" spans="1:24" x14ac:dyDescent="0.3">
      <c r="A16" t="s">
        <v>129</v>
      </c>
      <c r="B16">
        <v>0</v>
      </c>
      <c r="C16">
        <v>0</v>
      </c>
      <c r="S16" t="s">
        <v>77</v>
      </c>
      <c r="T16">
        <v>34521.9</v>
      </c>
      <c r="U16">
        <v>37654.32</v>
      </c>
      <c r="W16" t="s">
        <v>77</v>
      </c>
      <c r="X16">
        <v>9.07</v>
      </c>
    </row>
    <row r="17" spans="1:24" x14ac:dyDescent="0.3">
      <c r="A17" t="s">
        <v>130</v>
      </c>
      <c r="B17">
        <v>619852.68999999994</v>
      </c>
      <c r="C17">
        <v>254079.3</v>
      </c>
      <c r="S17" t="s">
        <v>131</v>
      </c>
      <c r="T17">
        <v>78432.100000000006</v>
      </c>
      <c r="U17">
        <v>81234.559999999998</v>
      </c>
      <c r="W17" t="s">
        <v>131</v>
      </c>
      <c r="X17">
        <v>3.57</v>
      </c>
    </row>
    <row r="18" spans="1:24" x14ac:dyDescent="0.3">
      <c r="A18" t="s">
        <v>132</v>
      </c>
      <c r="B18">
        <v>410603.6</v>
      </c>
      <c r="C18">
        <v>179721.19</v>
      </c>
      <c r="S18" t="s">
        <v>133</v>
      </c>
      <c r="T18">
        <v>92345.67</v>
      </c>
      <c r="U18">
        <v>95678.9</v>
      </c>
      <c r="W18" t="s">
        <v>133</v>
      </c>
      <c r="X18">
        <v>3.61</v>
      </c>
    </row>
    <row r="19" spans="1:24" x14ac:dyDescent="0.3">
      <c r="A19" t="s">
        <v>134</v>
      </c>
      <c r="B19">
        <v>49654.63</v>
      </c>
      <c r="C19">
        <v>22933.53</v>
      </c>
      <c r="S19" t="s">
        <v>135</v>
      </c>
      <c r="T19">
        <v>56789.01</v>
      </c>
      <c r="U19">
        <v>53456.78</v>
      </c>
      <c r="W19" t="s">
        <v>135</v>
      </c>
      <c r="X19">
        <v>-5.87</v>
      </c>
    </row>
    <row r="20" spans="1:24" x14ac:dyDescent="0.3">
      <c r="A20" t="s">
        <v>136</v>
      </c>
      <c r="B20">
        <v>474535.79</v>
      </c>
      <c r="C20">
        <v>212626.05</v>
      </c>
      <c r="S20" t="s">
        <v>137</v>
      </c>
      <c r="T20">
        <v>45123.78</v>
      </c>
      <c r="U20">
        <v>47890.12</v>
      </c>
      <c r="W20" t="s">
        <v>137</v>
      </c>
      <c r="X20">
        <v>6.13</v>
      </c>
    </row>
    <row r="21" spans="1:24" x14ac:dyDescent="0.3">
      <c r="A21" t="s">
        <v>138</v>
      </c>
      <c r="B21">
        <v>419450.67</v>
      </c>
      <c r="C21">
        <v>172055.22</v>
      </c>
      <c r="S21" t="s">
        <v>139</v>
      </c>
      <c r="T21">
        <v>67890.12</v>
      </c>
      <c r="U21">
        <v>71234.559999999998</v>
      </c>
      <c r="W21" t="s">
        <v>139</v>
      </c>
      <c r="X21">
        <v>4.93</v>
      </c>
    </row>
    <row r="22" spans="1:24" x14ac:dyDescent="0.3">
      <c r="A22" t="s">
        <v>140</v>
      </c>
      <c r="B22">
        <v>134867.67000000001</v>
      </c>
      <c r="C22">
        <v>62103.76</v>
      </c>
      <c r="W22" t="s">
        <v>141</v>
      </c>
      <c r="X22">
        <v>3.62</v>
      </c>
    </row>
    <row r="23" spans="1:24" x14ac:dyDescent="0.3">
      <c r="A23" t="s">
        <v>142</v>
      </c>
      <c r="B23">
        <v>549118.21</v>
      </c>
      <c r="C23">
        <v>232730.9</v>
      </c>
      <c r="W23" t="s">
        <v>143</v>
      </c>
      <c r="X23">
        <v>6.43</v>
      </c>
    </row>
    <row r="24" spans="1:24" x14ac:dyDescent="0.3">
      <c r="A24" t="s">
        <v>144</v>
      </c>
      <c r="B24">
        <v>786591.08</v>
      </c>
      <c r="C24">
        <v>322048.90000000002</v>
      </c>
      <c r="W24" t="s">
        <v>145</v>
      </c>
      <c r="X24">
        <v>4.37</v>
      </c>
    </row>
    <row r="25" spans="1:24" x14ac:dyDescent="0.3">
      <c r="A25" t="s">
        <v>146</v>
      </c>
      <c r="B25">
        <v>975972.28</v>
      </c>
      <c r="C25">
        <v>383627.98</v>
      </c>
      <c r="W25" t="s">
        <v>147</v>
      </c>
      <c r="X25">
        <v>-3.4</v>
      </c>
    </row>
    <row r="26" spans="1:24" x14ac:dyDescent="0.3">
      <c r="W26" t="s">
        <v>148</v>
      </c>
      <c r="X26">
        <v>-2.74</v>
      </c>
    </row>
    <row r="27" spans="1:24" x14ac:dyDescent="0.3">
      <c r="W27" t="s">
        <v>149</v>
      </c>
      <c r="X27">
        <v>6.76</v>
      </c>
    </row>
    <row r="28" spans="1:24" x14ac:dyDescent="0.3">
      <c r="W28" t="s">
        <v>150</v>
      </c>
      <c r="X28">
        <v>-3.62</v>
      </c>
    </row>
    <row r="29" spans="1:24" x14ac:dyDescent="0.3">
      <c r="W29" t="s">
        <v>151</v>
      </c>
      <c r="X29">
        <v>4.3</v>
      </c>
    </row>
    <row r="30" spans="1:24" x14ac:dyDescent="0.3">
      <c r="W30" t="s">
        <v>152</v>
      </c>
      <c r="X30">
        <v>2.96</v>
      </c>
    </row>
    <row r="31" spans="1:24" x14ac:dyDescent="0.3">
      <c r="W31" t="s">
        <v>153</v>
      </c>
      <c r="X31">
        <v>7.05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E25"/>
  <sheetViews>
    <sheetView zoomScaleNormal="100" workbookViewId="0"/>
  </sheetViews>
  <sheetFormatPr defaultColWidth="8.6640625" defaultRowHeight="14.4" x14ac:dyDescent="0.3"/>
  <cols>
    <col min="1" max="1" width="12" customWidth="1"/>
    <col min="2" max="3" width="18" customWidth="1"/>
    <col min="4" max="4" width="16" customWidth="1"/>
    <col min="5" max="5" width="14" customWidth="1"/>
  </cols>
  <sheetData>
    <row r="1" spans="1:5" ht="19.5" customHeight="1" x14ac:dyDescent="0.3">
      <c r="A1" s="21" t="s">
        <v>91</v>
      </c>
      <c r="B1" s="21" t="s">
        <v>154</v>
      </c>
      <c r="C1" s="21" t="s">
        <v>155</v>
      </c>
      <c r="D1" s="21" t="s">
        <v>156</v>
      </c>
      <c r="E1" s="21" t="s">
        <v>157</v>
      </c>
    </row>
    <row r="2" spans="1:5" x14ac:dyDescent="0.3">
      <c r="A2" s="22" t="s">
        <v>102</v>
      </c>
      <c r="B2" s="23">
        <v>26987.4</v>
      </c>
      <c r="C2" s="23">
        <v>13542.97</v>
      </c>
      <c r="D2" s="24">
        <v>50.18</v>
      </c>
      <c r="E2" s="24"/>
    </row>
    <row r="3" spans="1:5" x14ac:dyDescent="0.3">
      <c r="A3" s="25" t="s">
        <v>106</v>
      </c>
      <c r="B3" s="26">
        <v>329900.74</v>
      </c>
      <c r="C3" s="26">
        <v>154365.71</v>
      </c>
      <c r="D3" s="27">
        <v>46.79</v>
      </c>
      <c r="E3" s="27">
        <v>1122.4000000000001</v>
      </c>
    </row>
    <row r="4" spans="1:5" x14ac:dyDescent="0.3">
      <c r="A4" s="22" t="s">
        <v>110</v>
      </c>
      <c r="B4" s="23">
        <v>566393.79</v>
      </c>
      <c r="C4" s="23">
        <v>260493.36</v>
      </c>
      <c r="D4" s="24">
        <v>45.99</v>
      </c>
      <c r="E4" s="24">
        <v>71.7</v>
      </c>
    </row>
    <row r="5" spans="1:5" x14ac:dyDescent="0.3">
      <c r="A5" s="25" t="s">
        <v>114</v>
      </c>
      <c r="B5" s="26">
        <v>650378.98</v>
      </c>
      <c r="C5" s="26">
        <v>301307.90000000002</v>
      </c>
      <c r="D5" s="27">
        <v>46.33</v>
      </c>
      <c r="E5" s="27">
        <v>14.8</v>
      </c>
    </row>
    <row r="6" spans="1:5" x14ac:dyDescent="0.3">
      <c r="A6" s="22" t="s">
        <v>118</v>
      </c>
      <c r="B6" s="23">
        <v>510113.95</v>
      </c>
      <c r="C6" s="23">
        <v>248721.85</v>
      </c>
      <c r="D6" s="24">
        <v>48.76</v>
      </c>
      <c r="E6" s="24">
        <v>-21.6</v>
      </c>
    </row>
    <row r="7" spans="1:5" x14ac:dyDescent="0.3">
      <c r="A7" s="25" t="s">
        <v>120</v>
      </c>
      <c r="B7" s="26">
        <v>534841.11</v>
      </c>
      <c r="C7" s="26">
        <v>239114.32</v>
      </c>
      <c r="D7" s="27">
        <v>44.71</v>
      </c>
      <c r="E7" s="27">
        <v>4.8</v>
      </c>
    </row>
    <row r="8" spans="1:5" x14ac:dyDescent="0.3">
      <c r="A8" s="22" t="s">
        <v>121</v>
      </c>
      <c r="B8" s="23">
        <v>0</v>
      </c>
      <c r="C8" s="23">
        <v>0</v>
      </c>
      <c r="D8" s="24">
        <v>0</v>
      </c>
      <c r="E8" s="24"/>
    </row>
    <row r="9" spans="1:5" x14ac:dyDescent="0.3">
      <c r="A9" s="25" t="s">
        <v>122</v>
      </c>
      <c r="B9" s="26">
        <v>610593.84</v>
      </c>
      <c r="C9" s="26">
        <v>309674.64</v>
      </c>
      <c r="D9" s="27">
        <v>50.72</v>
      </c>
      <c r="E9" s="27">
        <v>14.2</v>
      </c>
    </row>
    <row r="10" spans="1:5" x14ac:dyDescent="0.3">
      <c r="A10" s="22" t="s">
        <v>123</v>
      </c>
      <c r="B10" s="23">
        <v>414982.36</v>
      </c>
      <c r="C10" s="23">
        <v>179528.79</v>
      </c>
      <c r="D10" s="24">
        <v>43.26</v>
      </c>
      <c r="E10" s="24">
        <v>-32</v>
      </c>
    </row>
    <row r="11" spans="1:5" x14ac:dyDescent="0.3">
      <c r="A11" s="25" t="s">
        <v>124</v>
      </c>
      <c r="B11" s="26">
        <v>254843.51</v>
      </c>
      <c r="C11" s="26">
        <v>118406.27</v>
      </c>
      <c r="D11" s="27">
        <v>46.46</v>
      </c>
      <c r="E11" s="27">
        <v>-38.6</v>
      </c>
    </row>
    <row r="12" spans="1:5" x14ac:dyDescent="0.3">
      <c r="A12" s="22" t="s">
        <v>125</v>
      </c>
      <c r="B12" s="23">
        <v>24236.16</v>
      </c>
      <c r="C12" s="23">
        <v>12191.76</v>
      </c>
      <c r="D12" s="24">
        <v>50.3</v>
      </c>
      <c r="E12" s="24">
        <v>-90.5</v>
      </c>
    </row>
    <row r="13" spans="1:5" x14ac:dyDescent="0.3">
      <c r="A13" s="25" t="s">
        <v>126</v>
      </c>
      <c r="B13" s="26">
        <v>554681.86</v>
      </c>
      <c r="C13" s="26">
        <v>247964.67</v>
      </c>
      <c r="D13" s="27">
        <v>44.7</v>
      </c>
      <c r="E13" s="27">
        <v>2188.6999999999998</v>
      </c>
    </row>
    <row r="14" spans="1:5" x14ac:dyDescent="0.3">
      <c r="A14" s="22" t="s">
        <v>127</v>
      </c>
      <c r="B14" s="23">
        <v>367676.59</v>
      </c>
      <c r="C14" s="23">
        <v>167709.46</v>
      </c>
      <c r="D14" s="24">
        <v>45.61</v>
      </c>
      <c r="E14" s="24">
        <v>-33.700000000000003</v>
      </c>
    </row>
    <row r="15" spans="1:5" x14ac:dyDescent="0.3">
      <c r="A15" s="25" t="s">
        <v>128</v>
      </c>
      <c r="B15" s="26">
        <v>15884.82</v>
      </c>
      <c r="C15" s="26">
        <v>6282.29</v>
      </c>
      <c r="D15" s="27">
        <v>39.549999999999997</v>
      </c>
      <c r="E15" s="27">
        <v>-95.7</v>
      </c>
    </row>
    <row r="16" spans="1:5" x14ac:dyDescent="0.3">
      <c r="A16" s="22" t="s">
        <v>129</v>
      </c>
      <c r="B16" s="23">
        <v>0</v>
      </c>
      <c r="C16" s="23">
        <v>0</v>
      </c>
      <c r="D16" s="24">
        <v>0</v>
      </c>
      <c r="E16" s="24"/>
    </row>
    <row r="17" spans="1:5" x14ac:dyDescent="0.3">
      <c r="A17" s="25" t="s">
        <v>130</v>
      </c>
      <c r="B17" s="26">
        <v>619852.68999999994</v>
      </c>
      <c r="C17" s="26">
        <v>254079.3</v>
      </c>
      <c r="D17" s="27">
        <v>40.99</v>
      </c>
      <c r="E17" s="27">
        <v>3802.2</v>
      </c>
    </row>
    <row r="18" spans="1:5" x14ac:dyDescent="0.3">
      <c r="A18" s="22" t="s">
        <v>132</v>
      </c>
      <c r="B18" s="23">
        <v>410603.6</v>
      </c>
      <c r="C18" s="23">
        <v>179721.19</v>
      </c>
      <c r="D18" s="24">
        <v>43.77</v>
      </c>
      <c r="E18" s="24">
        <v>-33.799999999999997</v>
      </c>
    </row>
    <row r="19" spans="1:5" x14ac:dyDescent="0.3">
      <c r="A19" s="25" t="s">
        <v>134</v>
      </c>
      <c r="B19" s="26">
        <v>49654.63</v>
      </c>
      <c r="C19" s="26">
        <v>22933.53</v>
      </c>
      <c r="D19" s="27">
        <v>46.19</v>
      </c>
      <c r="E19" s="27">
        <v>-87.9</v>
      </c>
    </row>
    <row r="20" spans="1:5" x14ac:dyDescent="0.3">
      <c r="A20" s="22" t="s">
        <v>136</v>
      </c>
      <c r="B20" s="23">
        <v>474535.79</v>
      </c>
      <c r="C20" s="23">
        <v>212626.05</v>
      </c>
      <c r="D20" s="24">
        <v>44.81</v>
      </c>
      <c r="E20" s="24">
        <v>855.7</v>
      </c>
    </row>
    <row r="21" spans="1:5" x14ac:dyDescent="0.3">
      <c r="A21" s="25" t="s">
        <v>138</v>
      </c>
      <c r="B21" s="26">
        <v>419450.67</v>
      </c>
      <c r="C21" s="26">
        <v>172055.22</v>
      </c>
      <c r="D21" s="27">
        <v>41.02</v>
      </c>
      <c r="E21" s="27">
        <v>-11.6</v>
      </c>
    </row>
    <row r="22" spans="1:5" x14ac:dyDescent="0.3">
      <c r="A22" s="22" t="s">
        <v>140</v>
      </c>
      <c r="B22" s="23">
        <v>134867.67000000001</v>
      </c>
      <c r="C22" s="23">
        <v>62103.76</v>
      </c>
      <c r="D22" s="24">
        <v>46.05</v>
      </c>
      <c r="E22" s="24">
        <v>-67.8</v>
      </c>
    </row>
    <row r="23" spans="1:5" x14ac:dyDescent="0.3">
      <c r="A23" s="25" t="s">
        <v>142</v>
      </c>
      <c r="B23" s="26">
        <v>549118.21</v>
      </c>
      <c r="C23" s="26">
        <v>232730.9</v>
      </c>
      <c r="D23" s="27">
        <v>42.38</v>
      </c>
      <c r="E23" s="27">
        <v>307.2</v>
      </c>
    </row>
    <row r="24" spans="1:5" x14ac:dyDescent="0.3">
      <c r="A24" s="22" t="s">
        <v>144</v>
      </c>
      <c r="B24" s="23">
        <v>786591.08</v>
      </c>
      <c r="C24" s="23">
        <v>322048.90000000002</v>
      </c>
      <c r="D24" s="24">
        <v>40.94</v>
      </c>
      <c r="E24" s="24">
        <v>43.2</v>
      </c>
    </row>
    <row r="25" spans="1:5" x14ac:dyDescent="0.3">
      <c r="A25" s="25" t="s">
        <v>146</v>
      </c>
      <c r="B25" s="26">
        <v>975972.28</v>
      </c>
      <c r="C25" s="26">
        <v>383627.98</v>
      </c>
      <c r="D25" s="27">
        <v>39.31</v>
      </c>
      <c r="E25" s="27">
        <v>24.1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7"/>
  <sheetViews>
    <sheetView zoomScaleNormal="100" workbookViewId="0"/>
  </sheetViews>
  <sheetFormatPr defaultColWidth="8.6640625" defaultRowHeight="14.4" x14ac:dyDescent="0.3"/>
  <cols>
    <col min="1" max="1" width="16" customWidth="1"/>
    <col min="2" max="2" width="20" customWidth="1"/>
    <col min="3" max="3" width="18" customWidth="1"/>
    <col min="4" max="4" width="16" customWidth="1"/>
    <col min="5" max="5" width="22" customWidth="1"/>
    <col min="6" max="6" width="16" customWidth="1"/>
  </cols>
  <sheetData>
    <row r="1" spans="1:6" ht="19.5" customHeight="1" x14ac:dyDescent="0.3">
      <c r="A1" s="28" t="s">
        <v>20</v>
      </c>
      <c r="B1" s="28" t="s">
        <v>158</v>
      </c>
      <c r="C1" s="28" t="s">
        <v>159</v>
      </c>
      <c r="D1" s="28" t="s">
        <v>156</v>
      </c>
      <c r="E1" s="28" t="s">
        <v>160</v>
      </c>
      <c r="F1" s="28" t="s">
        <v>161</v>
      </c>
    </row>
    <row r="2" spans="1:6" x14ac:dyDescent="0.3">
      <c r="A2" s="29" t="s">
        <v>23</v>
      </c>
      <c r="B2" s="30">
        <v>1652868.49</v>
      </c>
      <c r="C2" s="30">
        <v>761018.42</v>
      </c>
      <c r="D2" s="31">
        <v>46.04</v>
      </c>
      <c r="E2" s="31">
        <v>96.88</v>
      </c>
      <c r="F2" s="31">
        <v>17.8</v>
      </c>
    </row>
    <row r="3" spans="1:6" x14ac:dyDescent="0.3">
      <c r="A3" s="32" t="s">
        <v>26</v>
      </c>
      <c r="B3" s="26">
        <v>2868169.35</v>
      </c>
      <c r="C3" s="26">
        <v>1281778.05</v>
      </c>
      <c r="D3" s="27">
        <v>44.69</v>
      </c>
      <c r="E3" s="27">
        <v>92.31</v>
      </c>
      <c r="F3" s="27">
        <v>30.9</v>
      </c>
    </row>
    <row r="4" spans="1:6" x14ac:dyDescent="0.3">
      <c r="A4" s="29" t="s">
        <v>29</v>
      </c>
      <c r="B4" s="30">
        <v>1908239.4</v>
      </c>
      <c r="C4" s="30">
        <v>821935.26</v>
      </c>
      <c r="D4" s="31">
        <v>43.07</v>
      </c>
      <c r="E4" s="31">
        <v>93.99</v>
      </c>
      <c r="F4" s="31">
        <v>20.6</v>
      </c>
    </row>
    <row r="5" spans="1:6" x14ac:dyDescent="0.3">
      <c r="A5" s="32" t="s">
        <v>32</v>
      </c>
      <c r="B5" s="26">
        <v>1610589.78</v>
      </c>
      <c r="C5" s="26">
        <v>703511.2</v>
      </c>
      <c r="D5" s="27">
        <v>43.68</v>
      </c>
      <c r="E5" s="27">
        <v>92.08</v>
      </c>
      <c r="F5" s="27">
        <v>17.399999999999999</v>
      </c>
    </row>
    <row r="6" spans="1:6" x14ac:dyDescent="0.3">
      <c r="A6" s="29" t="s">
        <v>35</v>
      </c>
      <c r="B6" s="30">
        <v>1242294.71</v>
      </c>
      <c r="C6" s="30">
        <v>532987.89</v>
      </c>
      <c r="D6" s="31">
        <v>42.9</v>
      </c>
      <c r="E6" s="31">
        <v>93.54</v>
      </c>
      <c r="F6" s="31">
        <v>13.4</v>
      </c>
    </row>
    <row r="7" spans="1:6" x14ac:dyDescent="0.3">
      <c r="A7" s="33" t="s">
        <v>162</v>
      </c>
      <c r="B7" s="34">
        <v>9282161.7300000004</v>
      </c>
      <c r="C7" s="34">
        <v>4101230.82</v>
      </c>
      <c r="D7" s="35">
        <v>44.18</v>
      </c>
      <c r="E7" s="35">
        <v>93.76</v>
      </c>
      <c r="F7" s="35"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55A11"/>
  </sheetPr>
  <dimension ref="A1:F12"/>
  <sheetViews>
    <sheetView zoomScaleNormal="100" workbookViewId="0">
      <selection sqref="A1:F1"/>
    </sheetView>
  </sheetViews>
  <sheetFormatPr defaultColWidth="8.6640625" defaultRowHeight="14.4" x14ac:dyDescent="0.3"/>
  <cols>
    <col min="1" max="1" width="28" customWidth="1"/>
    <col min="2" max="2" width="16" customWidth="1"/>
    <col min="3" max="3" width="18" customWidth="1"/>
    <col min="4" max="4" width="14" customWidth="1"/>
    <col min="5" max="5" width="12" customWidth="1"/>
    <col min="6" max="6" width="32" customWidth="1"/>
  </cols>
  <sheetData>
    <row r="1" spans="1:6" ht="27.75" customHeight="1" x14ac:dyDescent="0.3">
      <c r="A1" s="53" t="s">
        <v>163</v>
      </c>
      <c r="B1" s="53"/>
      <c r="C1" s="53"/>
      <c r="D1" s="53"/>
      <c r="E1" s="53"/>
      <c r="F1" s="53"/>
    </row>
    <row r="2" spans="1:6" ht="19.5" customHeight="1" x14ac:dyDescent="0.3">
      <c r="A2" s="36" t="s">
        <v>164</v>
      </c>
      <c r="B2" s="36" t="s">
        <v>165</v>
      </c>
      <c r="C2" s="36" t="s">
        <v>166</v>
      </c>
      <c r="D2" s="36" t="s">
        <v>45</v>
      </c>
      <c r="E2" s="36" t="s">
        <v>167</v>
      </c>
      <c r="F2" s="36" t="s">
        <v>168</v>
      </c>
    </row>
    <row r="3" spans="1:6" ht="18" customHeight="1" x14ac:dyDescent="0.3">
      <c r="A3" s="37" t="s">
        <v>158</v>
      </c>
      <c r="B3" s="38" t="s">
        <v>169</v>
      </c>
      <c r="C3" s="38" t="s">
        <v>170</v>
      </c>
      <c r="D3" s="39" t="s">
        <v>64</v>
      </c>
      <c r="E3" s="38" t="s">
        <v>171</v>
      </c>
      <c r="F3" s="38" t="s">
        <v>172</v>
      </c>
    </row>
    <row r="4" spans="1:6" ht="18" customHeight="1" x14ac:dyDescent="0.3">
      <c r="A4" s="40" t="s">
        <v>156</v>
      </c>
      <c r="B4" s="41" t="s">
        <v>7</v>
      </c>
      <c r="C4" s="41" t="s">
        <v>173</v>
      </c>
      <c r="D4" s="39" t="s">
        <v>174</v>
      </c>
      <c r="E4" s="41" t="s">
        <v>175</v>
      </c>
      <c r="F4" s="41" t="s">
        <v>176</v>
      </c>
    </row>
    <row r="5" spans="1:6" ht="18" customHeight="1" x14ac:dyDescent="0.3">
      <c r="A5" s="37" t="s">
        <v>177</v>
      </c>
      <c r="B5" s="38" t="s">
        <v>8</v>
      </c>
      <c r="C5" s="38" t="s">
        <v>178</v>
      </c>
      <c r="D5" s="39" t="s">
        <v>179</v>
      </c>
      <c r="E5" s="38" t="s">
        <v>180</v>
      </c>
      <c r="F5" s="38" t="s">
        <v>181</v>
      </c>
    </row>
    <row r="6" spans="1:6" ht="18" customHeight="1" x14ac:dyDescent="0.3">
      <c r="A6" s="40" t="s">
        <v>182</v>
      </c>
      <c r="B6" s="41" t="s">
        <v>183</v>
      </c>
      <c r="C6" s="41" t="s">
        <v>184</v>
      </c>
      <c r="D6" s="39" t="s">
        <v>185</v>
      </c>
      <c r="E6" s="41" t="s">
        <v>186</v>
      </c>
      <c r="F6" s="41" t="s">
        <v>187</v>
      </c>
    </row>
    <row r="7" spans="1:6" ht="18" customHeight="1" x14ac:dyDescent="0.3">
      <c r="A7" s="37" t="s">
        <v>188</v>
      </c>
      <c r="B7" s="38" t="s">
        <v>9</v>
      </c>
      <c r="C7" s="38" t="s">
        <v>189</v>
      </c>
      <c r="D7" s="42" t="s">
        <v>190</v>
      </c>
      <c r="E7" s="38" t="s">
        <v>191</v>
      </c>
      <c r="F7" s="38" t="s">
        <v>192</v>
      </c>
    </row>
    <row r="8" spans="1:6" ht="18" customHeight="1" x14ac:dyDescent="0.3">
      <c r="A8" s="40" t="s">
        <v>159</v>
      </c>
      <c r="B8" s="41" t="s">
        <v>193</v>
      </c>
      <c r="C8" s="41" t="s">
        <v>194</v>
      </c>
      <c r="D8" s="39" t="s">
        <v>195</v>
      </c>
      <c r="E8" s="41" t="s">
        <v>171</v>
      </c>
      <c r="F8" s="41" t="s">
        <v>196</v>
      </c>
    </row>
    <row r="9" spans="1:6" ht="18" customHeight="1" x14ac:dyDescent="0.3">
      <c r="A9" s="37" t="s">
        <v>197</v>
      </c>
      <c r="B9" s="38" t="s">
        <v>198</v>
      </c>
      <c r="C9" s="38" t="s">
        <v>199</v>
      </c>
      <c r="D9" s="39" t="s">
        <v>200</v>
      </c>
      <c r="E9" s="38" t="s">
        <v>201</v>
      </c>
      <c r="F9" s="38" t="s">
        <v>202</v>
      </c>
    </row>
    <row r="10" spans="1:6" ht="18" customHeight="1" x14ac:dyDescent="0.3">
      <c r="A10" s="40" t="s">
        <v>203</v>
      </c>
      <c r="B10" s="41" t="s">
        <v>204</v>
      </c>
      <c r="C10" s="41" t="s">
        <v>199</v>
      </c>
      <c r="D10" s="39" t="s">
        <v>64</v>
      </c>
      <c r="E10" s="41" t="s">
        <v>171</v>
      </c>
      <c r="F10" s="41" t="s">
        <v>205</v>
      </c>
    </row>
    <row r="11" spans="1:6" ht="18" customHeight="1" x14ac:dyDescent="0.3">
      <c r="A11" s="37" t="s">
        <v>206</v>
      </c>
      <c r="B11" s="38" t="s">
        <v>207</v>
      </c>
      <c r="C11" s="38" t="s">
        <v>208</v>
      </c>
      <c r="D11" s="43" t="s">
        <v>209</v>
      </c>
      <c r="E11" s="38" t="s">
        <v>201</v>
      </c>
      <c r="F11" s="38" t="s">
        <v>210</v>
      </c>
    </row>
    <row r="12" spans="1:6" ht="18" customHeight="1" x14ac:dyDescent="0.3">
      <c r="A12" s="40" t="s">
        <v>211</v>
      </c>
      <c r="B12" s="41" t="s">
        <v>212</v>
      </c>
      <c r="C12" s="41" t="s">
        <v>213</v>
      </c>
      <c r="D12" s="39" t="s">
        <v>214</v>
      </c>
      <c r="E12" s="41" t="s">
        <v>215</v>
      </c>
      <c r="F12" s="41" t="s">
        <v>216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ChartData</vt:lpstr>
      <vt:lpstr>Monthly Trend</vt:lpstr>
      <vt:lpstr>Regional Analysis</vt:lpstr>
      <vt:lpstr>KPI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 PAL</cp:lastModifiedBy>
  <cp:revision>1</cp:revision>
  <dcterms:created xsi:type="dcterms:W3CDTF">2026-06-10T17:41:02Z</dcterms:created>
  <dcterms:modified xsi:type="dcterms:W3CDTF">2026-06-10T18:37:10Z</dcterms:modified>
  <dc:language>en-US</dc:language>
</cp:coreProperties>
</file>